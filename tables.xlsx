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jesse-local/Dropbox/projects/Maria boatlift/puerto rico/aej-applied/revision/final revision for submission/"/>
    </mc:Choice>
  </mc:AlternateContent>
  <xr:revisionPtr revIDLastSave="0" documentId="13_ncr:1_{E673C45D-B2FF-9A42-B3B3-D967653F86B5}" xr6:coauthVersionLast="47" xr6:coauthVersionMax="47" xr10:uidLastSave="{00000000-0000-0000-0000-000000000000}"/>
  <bookViews>
    <workbookView xWindow="4140" yWindow="4540" windowWidth="27580" windowHeight="23720" tabRatio="855" xr2:uid="{00000000-000D-0000-FFFF-FFFF00000000}"/>
  </bookViews>
  <sheets>
    <sheet name="Key" sheetId="47" r:id="rId1"/>
    <sheet name="T1" sheetId="1" r:id="rId2"/>
    <sheet name="T2" sheetId="2" r:id="rId3"/>
    <sheet name="T3" sheetId="15" r:id="rId4"/>
    <sheet name="T4" sheetId="10" r:id="rId5"/>
    <sheet name="T5" sheetId="3" r:id="rId6"/>
    <sheet name="T6" sheetId="13" r:id="rId7"/>
    <sheet name="T7" sheetId="4" r:id="rId8"/>
    <sheet name="T8" sheetId="5" r:id="rId9"/>
    <sheet name="T9" sheetId="16" r:id="rId10"/>
    <sheet name="T10" sheetId="8" r:id="rId11"/>
    <sheet name="T11" sheetId="17" r:id="rId12"/>
    <sheet name="AT1" sheetId="36" r:id="rId13"/>
    <sheet name="AT2" sheetId="42" r:id="rId14"/>
    <sheet name="AT3" sheetId="35" r:id="rId15"/>
    <sheet name="AT4" sheetId="11" r:id="rId16"/>
    <sheet name="AT5" sheetId="12" r:id="rId17"/>
    <sheet name="AT6" sheetId="7" r:id="rId18"/>
    <sheet name="AT7" sheetId="32" r:id="rId19"/>
    <sheet name="disc7.1" sheetId="18" r:id="rId20"/>
    <sheet name="disc7.2" sheetId="19" r:id="rId21"/>
    <sheet name="disc7.3" sheetId="22" r:id="rId22"/>
    <sheet name="disc7.4" sheetId="24" r:id="rId23"/>
    <sheet name="disc7.5" sheetId="25" r:id="rId24"/>
    <sheet name="disc7.6" sheetId="20" r:id="rId25"/>
    <sheet name="disc7.7" sheetId="23" r:id="rId26"/>
    <sheet name="disc7.14" sheetId="27" r:id="rId27"/>
    <sheet name="disc7.15" sheetId="28" r:id="rId28"/>
    <sheet name="disc7.16" sheetId="26" r:id="rId29"/>
    <sheet name="disc7.17" sheetId="31" r:id="rId30"/>
    <sheet name="disc7.18" sheetId="29" r:id="rId31"/>
    <sheet name="disc7.19" sheetId="30" r:id="rId32"/>
    <sheet name="disc7.20" sheetId="21" r:id="rId33"/>
    <sheet name="disc9.1" sheetId="33" r:id="rId34"/>
    <sheet name="disc9.5" sheetId="38" r:id="rId35"/>
    <sheet name="apptab1" sheetId="41" r:id="rId36"/>
    <sheet name="apptab2" sheetId="43" r:id="rId37"/>
    <sheet name="apptab7" sheetId="45" r:id="rId38"/>
    <sheet name="tab6_external" sheetId="46" r:id="rId39"/>
    <sheet name="atab3_full" sheetId="39" r:id="rId40"/>
  </sheets>
  <definedNames>
    <definedName name="_xlnm.Print_Area" localSheetId="12">'AT1'!$A$4:$G$41</definedName>
    <definedName name="_xlnm.Print_Area" localSheetId="13">'AT2'!$A$1:$L$26</definedName>
    <definedName name="_xlnm.Print_Area" localSheetId="14">'AT3'!$B$2:$J$31</definedName>
    <definedName name="_xlnm.Print_Area" localSheetId="15">'AT4'!$B$6:$T$29</definedName>
    <definedName name="_xlnm.Print_Area" localSheetId="16">'AT5'!$B$6:$N$28</definedName>
    <definedName name="_xlnm.Print_Area" localSheetId="17">'AT6'!$B$6:$E$33</definedName>
    <definedName name="_xlnm.Print_Area" localSheetId="18">'AT7'!$C$2:$G$19</definedName>
    <definedName name="_xlnm.Print_Area" localSheetId="1">'T1'!$B$1:$H$30</definedName>
    <definedName name="_xlnm.Print_Area" localSheetId="10">'T10'!$B$3:$L$17</definedName>
    <definedName name="_xlnm.Print_Area" localSheetId="11">'T11'!$A$3:$H$28</definedName>
    <definedName name="_xlnm.Print_Area" localSheetId="2">'T2'!$B$6:$H$27</definedName>
    <definedName name="_xlnm.Print_Area" localSheetId="3">'T3'!$B$3:$F$34</definedName>
    <definedName name="_xlnm.Print_Area" localSheetId="4">'T4'!$B$2:$M$20</definedName>
    <definedName name="_xlnm.Print_Area" localSheetId="5">'T5'!$B$6:$G$37</definedName>
    <definedName name="_xlnm.Print_Area" localSheetId="6">'T6'!$B$2:$L$22</definedName>
    <definedName name="_xlnm.Print_Area" localSheetId="7">'T7'!$B$6:$H$19</definedName>
    <definedName name="_xlnm.Print_Area" localSheetId="8">'T8'!$B$6:$D$23</definedName>
    <definedName name="_xlnm.Print_Area" localSheetId="9">'T9'!$B$3:$F$47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 i="13" l="1"/>
  <c r="K16" i="13"/>
  <c r="J16" i="13"/>
  <c r="I16" i="13"/>
  <c r="G17" i="32"/>
  <c r="G16" i="32"/>
  <c r="E17" i="32"/>
  <c r="E16" i="32"/>
  <c r="G15" i="32"/>
  <c r="G14" i="32"/>
  <c r="E15" i="32"/>
  <c r="E14" i="32"/>
  <c r="G11" i="32"/>
  <c r="G10" i="32"/>
  <c r="E11" i="32"/>
  <c r="E10" i="32"/>
  <c r="G9" i="32"/>
  <c r="G8" i="32"/>
  <c r="E9" i="32"/>
  <c r="E8" i="32"/>
  <c r="L19" i="42"/>
  <c r="K19" i="42"/>
  <c r="J19" i="42"/>
  <c r="L18" i="42"/>
  <c r="K18" i="42"/>
  <c r="J18" i="42"/>
  <c r="H19" i="42"/>
  <c r="G19" i="42"/>
  <c r="F19" i="42"/>
  <c r="H18" i="42"/>
  <c r="G18" i="42"/>
  <c r="F18" i="42"/>
  <c r="D19" i="42"/>
  <c r="C19" i="42"/>
  <c r="B19" i="42"/>
  <c r="D18" i="42"/>
  <c r="C18" i="42"/>
  <c r="B18" i="42"/>
  <c r="L16" i="42"/>
  <c r="K16" i="42"/>
  <c r="J16" i="42"/>
  <c r="L15" i="42"/>
  <c r="K15" i="42"/>
  <c r="J15" i="42"/>
  <c r="H16" i="42"/>
  <c r="G16" i="42"/>
  <c r="F16" i="42"/>
  <c r="H15" i="42"/>
  <c r="G15" i="42"/>
  <c r="F15" i="42"/>
  <c r="D16" i="42"/>
  <c r="C16" i="42"/>
  <c r="B16" i="42"/>
  <c r="D15" i="42"/>
  <c r="C15" i="42"/>
  <c r="B15" i="42"/>
  <c r="L13" i="42"/>
  <c r="K13" i="42"/>
  <c r="J13" i="42"/>
  <c r="L12" i="42"/>
  <c r="K12" i="42"/>
  <c r="J12" i="42"/>
  <c r="H13" i="42"/>
  <c r="G13" i="42"/>
  <c r="F13" i="42"/>
  <c r="H12" i="42"/>
  <c r="G12" i="42"/>
  <c r="F12" i="42"/>
  <c r="D13" i="42"/>
  <c r="C13" i="42"/>
  <c r="B13" i="42"/>
  <c r="D12" i="42"/>
  <c r="C12" i="42"/>
  <c r="B12" i="42"/>
  <c r="L10" i="42"/>
  <c r="K10" i="42"/>
  <c r="J10" i="42"/>
  <c r="L9" i="42"/>
  <c r="K9" i="42"/>
  <c r="J9" i="42"/>
  <c r="H10" i="42"/>
  <c r="G10" i="42"/>
  <c r="F10" i="42"/>
  <c r="H9" i="42"/>
  <c r="G9" i="42"/>
  <c r="F9" i="42"/>
  <c r="D10" i="42"/>
  <c r="D9" i="42"/>
  <c r="C10" i="42"/>
  <c r="C9" i="42"/>
  <c r="B10" i="42"/>
  <c r="B9" i="42"/>
  <c r="G35" i="36"/>
  <c r="E35" i="36"/>
  <c r="C35" i="36"/>
  <c r="G34" i="36"/>
  <c r="E34" i="36"/>
  <c r="C34" i="36"/>
  <c r="G33" i="36"/>
  <c r="E33" i="36"/>
  <c r="C33" i="36"/>
  <c r="G31" i="36"/>
  <c r="E31" i="36"/>
  <c r="C31" i="36"/>
  <c r="G30" i="36"/>
  <c r="E30" i="36"/>
  <c r="C30" i="36"/>
  <c r="G29" i="36"/>
  <c r="E29" i="36"/>
  <c r="C29" i="36"/>
  <c r="G26" i="36"/>
  <c r="E26" i="36"/>
  <c r="C26" i="36"/>
  <c r="G25" i="36"/>
  <c r="E25" i="36"/>
  <c r="C25" i="36"/>
  <c r="G24" i="36"/>
  <c r="E24" i="36"/>
  <c r="C24" i="36"/>
  <c r="G22" i="36"/>
  <c r="G21" i="36"/>
  <c r="G20" i="36"/>
  <c r="E22" i="36"/>
  <c r="E21" i="36"/>
  <c r="E20" i="36"/>
  <c r="C22" i="36"/>
  <c r="C21" i="36"/>
  <c r="C20" i="36"/>
  <c r="E17" i="36"/>
  <c r="E16" i="36"/>
  <c r="E15" i="36"/>
  <c r="G17" i="36"/>
  <c r="G16" i="36"/>
  <c r="G15" i="36"/>
  <c r="C17" i="36"/>
  <c r="C16" i="36"/>
  <c r="C15" i="36"/>
  <c r="G13" i="36"/>
  <c r="G12" i="36"/>
  <c r="G11" i="36"/>
  <c r="E13" i="36"/>
  <c r="E12" i="36"/>
  <c r="E11" i="36"/>
  <c r="C13" i="36"/>
  <c r="C12" i="36"/>
  <c r="C11" i="36"/>
  <c r="E28" i="7"/>
  <c r="E27" i="7"/>
  <c r="E26" i="7"/>
  <c r="D26" i="7" s="1"/>
  <c r="E25" i="7"/>
  <c r="D25" i="7" s="1"/>
  <c r="E22" i="7"/>
  <c r="E19" i="7"/>
  <c r="E18" i="7"/>
  <c r="E17" i="7"/>
  <c r="E15" i="7"/>
  <c r="E14" i="7"/>
  <c r="E13" i="7"/>
  <c r="D27" i="7" s="1"/>
  <c r="D11" i="7"/>
  <c r="D17" i="7" s="1"/>
  <c r="N22" i="12"/>
  <c r="K22" i="12"/>
  <c r="H22" i="12"/>
  <c r="E22" i="12"/>
  <c r="N21" i="12"/>
  <c r="K21" i="12"/>
  <c r="H21" i="12"/>
  <c r="E21" i="12"/>
  <c r="N20" i="12"/>
  <c r="K20" i="12"/>
  <c r="H20" i="12"/>
  <c r="E20" i="12"/>
  <c r="N18" i="12"/>
  <c r="K18" i="12"/>
  <c r="J18" i="12"/>
  <c r="H18" i="12"/>
  <c r="G18" i="12"/>
  <c r="E18" i="12"/>
  <c r="D18" i="12"/>
  <c r="N17" i="12"/>
  <c r="K17" i="12"/>
  <c r="J17" i="12"/>
  <c r="H17" i="12"/>
  <c r="G17" i="12"/>
  <c r="E17" i="12"/>
  <c r="D17" i="12"/>
  <c r="N16" i="12"/>
  <c r="K16" i="12"/>
  <c r="J16" i="12"/>
  <c r="J22" i="12" s="1"/>
  <c r="H16" i="12"/>
  <c r="G16" i="12"/>
  <c r="G22" i="12" s="1"/>
  <c r="E16" i="12"/>
  <c r="D16" i="12"/>
  <c r="D22" i="12" s="1"/>
  <c r="N15" i="12"/>
  <c r="K15" i="12"/>
  <c r="J15" i="12"/>
  <c r="J21" i="12" s="1"/>
  <c r="H15" i="12"/>
  <c r="G15" i="12"/>
  <c r="G21" i="12" s="1"/>
  <c r="E15" i="12"/>
  <c r="D15" i="12"/>
  <c r="D21" i="12" s="1"/>
  <c r="M13" i="12"/>
  <c r="M18" i="12" s="1"/>
  <c r="J13" i="12"/>
  <c r="G13" i="12"/>
  <c r="D13" i="12"/>
  <c r="S23" i="11"/>
  <c r="M23" i="11"/>
  <c r="G23" i="11"/>
  <c r="T22" i="11"/>
  <c r="Q22" i="11"/>
  <c r="N22" i="11"/>
  <c r="K22" i="11"/>
  <c r="H22" i="11"/>
  <c r="E22" i="11"/>
  <c r="T21" i="11"/>
  <c r="Q21" i="11"/>
  <c r="N21" i="11"/>
  <c r="K21" i="11"/>
  <c r="H21" i="11"/>
  <c r="E21" i="11"/>
  <c r="D21" i="11" s="1"/>
  <c r="T20" i="11"/>
  <c r="Q20" i="11"/>
  <c r="N20" i="11"/>
  <c r="K20" i="11"/>
  <c r="H20" i="11"/>
  <c r="E20" i="11"/>
  <c r="T18" i="11"/>
  <c r="Q18" i="11"/>
  <c r="N18" i="11"/>
  <c r="K18" i="11"/>
  <c r="J18" i="11"/>
  <c r="H18" i="11"/>
  <c r="E18" i="11"/>
  <c r="D18" i="11" s="1"/>
  <c r="T17" i="11"/>
  <c r="Q17" i="11"/>
  <c r="N17" i="11"/>
  <c r="K17" i="11"/>
  <c r="H17" i="11"/>
  <c r="E17" i="11"/>
  <c r="D17" i="11"/>
  <c r="T16" i="11"/>
  <c r="Q16" i="11"/>
  <c r="N16" i="11"/>
  <c r="K16" i="11"/>
  <c r="J16" i="11"/>
  <c r="H16" i="11"/>
  <c r="E16" i="11"/>
  <c r="D16" i="11" s="1"/>
  <c r="D22" i="11" s="1"/>
  <c r="T15" i="11"/>
  <c r="Q15" i="11"/>
  <c r="N15" i="11"/>
  <c r="K15" i="11"/>
  <c r="H15" i="11"/>
  <c r="E15" i="11"/>
  <c r="D15" i="11"/>
  <c r="S13" i="11"/>
  <c r="S17" i="11" s="1"/>
  <c r="P13" i="11"/>
  <c r="P17" i="11" s="1"/>
  <c r="M13" i="11"/>
  <c r="M18" i="11" s="1"/>
  <c r="J13" i="11"/>
  <c r="J17" i="11" s="1"/>
  <c r="G13" i="11"/>
  <c r="G17" i="11" s="1"/>
  <c r="D13" i="11"/>
  <c r="J29" i="35"/>
  <c r="I29" i="35"/>
  <c r="H29" i="35"/>
  <c r="E29" i="35"/>
  <c r="D29" i="35"/>
  <c r="C29" i="35"/>
  <c r="J28" i="35"/>
  <c r="I28" i="35"/>
  <c r="H28" i="35"/>
  <c r="E28" i="35"/>
  <c r="D28" i="35"/>
  <c r="C28" i="35"/>
  <c r="J27" i="35"/>
  <c r="I27" i="35"/>
  <c r="H27" i="35"/>
  <c r="E27" i="35"/>
  <c r="D27" i="35"/>
  <c r="C27" i="35"/>
  <c r="J26" i="35"/>
  <c r="I26" i="35"/>
  <c r="H26" i="35"/>
  <c r="E26" i="35"/>
  <c r="D26" i="35"/>
  <c r="C26" i="35"/>
  <c r="J25" i="35"/>
  <c r="I25" i="35"/>
  <c r="H25" i="35"/>
  <c r="E25" i="35"/>
  <c r="D25" i="35"/>
  <c r="C25" i="35"/>
  <c r="J24" i="35"/>
  <c r="I24" i="35"/>
  <c r="H24" i="35"/>
  <c r="E24" i="35"/>
  <c r="D24" i="35"/>
  <c r="C24" i="35"/>
  <c r="J23" i="35"/>
  <c r="I23" i="35"/>
  <c r="H23" i="35"/>
  <c r="E23" i="35"/>
  <c r="D23" i="35"/>
  <c r="C23" i="35"/>
  <c r="J22" i="35"/>
  <c r="I22" i="35"/>
  <c r="H22" i="35"/>
  <c r="E22" i="35"/>
  <c r="D22" i="35"/>
  <c r="C22" i="35"/>
  <c r="J21" i="35"/>
  <c r="I21" i="35"/>
  <c r="H21" i="35"/>
  <c r="E21" i="35"/>
  <c r="D21" i="35"/>
  <c r="C21" i="35"/>
  <c r="J20" i="35"/>
  <c r="I20" i="35"/>
  <c r="H20" i="35"/>
  <c r="E20" i="35"/>
  <c r="D20" i="35"/>
  <c r="C20" i="35"/>
  <c r="J19" i="35"/>
  <c r="I19" i="35"/>
  <c r="H19" i="35"/>
  <c r="E19" i="35"/>
  <c r="D19" i="35"/>
  <c r="C19" i="35"/>
  <c r="J18" i="35"/>
  <c r="I18" i="35"/>
  <c r="H18" i="35"/>
  <c r="E18" i="35"/>
  <c r="D18" i="35"/>
  <c r="C18" i="35"/>
  <c r="J17" i="35"/>
  <c r="I17" i="35"/>
  <c r="H17" i="35"/>
  <c r="E17" i="35"/>
  <c r="D17" i="35"/>
  <c r="C17" i="35"/>
  <c r="J16" i="35"/>
  <c r="I16" i="35"/>
  <c r="H16" i="35"/>
  <c r="E16" i="35"/>
  <c r="D16" i="35"/>
  <c r="C16" i="35"/>
  <c r="J15" i="35"/>
  <c r="I15" i="35"/>
  <c r="H15" i="35"/>
  <c r="E15" i="35"/>
  <c r="D15" i="35"/>
  <c r="C15" i="35"/>
  <c r="J14" i="35"/>
  <c r="I14" i="35"/>
  <c r="H14" i="35"/>
  <c r="E14" i="35"/>
  <c r="D14" i="35"/>
  <c r="C14" i="35"/>
  <c r="J13" i="35"/>
  <c r="I13" i="35"/>
  <c r="H13" i="35"/>
  <c r="E13" i="35"/>
  <c r="D13" i="35"/>
  <c r="C13" i="35"/>
  <c r="J12" i="35"/>
  <c r="I12" i="35"/>
  <c r="H12" i="35"/>
  <c r="E12" i="35"/>
  <c r="D12" i="35"/>
  <c r="C12" i="35"/>
  <c r="J11" i="35"/>
  <c r="I11" i="35"/>
  <c r="H11" i="35"/>
  <c r="E11" i="35"/>
  <c r="D11" i="35"/>
  <c r="C11" i="35"/>
  <c r="J10" i="35"/>
  <c r="I10" i="35"/>
  <c r="H10" i="35"/>
  <c r="E10" i="35"/>
  <c r="D10" i="35"/>
  <c r="C10" i="35"/>
  <c r="J9" i="35"/>
  <c r="I9" i="35"/>
  <c r="H9" i="35"/>
  <c r="E9" i="35"/>
  <c r="D9" i="35"/>
  <c r="C9" i="35"/>
  <c r="J8" i="35"/>
  <c r="I8" i="35"/>
  <c r="H8" i="35"/>
  <c r="E8" i="35"/>
  <c r="C8" i="35"/>
  <c r="J7" i="35"/>
  <c r="I7" i="35"/>
  <c r="H7" i="35"/>
  <c r="E7" i="35"/>
  <c r="D7" i="35"/>
  <c r="C7" i="35"/>
  <c r="J6" i="35"/>
  <c r="I6" i="35"/>
  <c r="H6" i="35"/>
  <c r="E6" i="35"/>
  <c r="D6" i="35"/>
  <c r="C6" i="35"/>
  <c r="J5" i="35"/>
  <c r="I5" i="35"/>
  <c r="H5" i="35"/>
  <c r="E5" i="35"/>
  <c r="D5" i="35"/>
  <c r="C5" i="35"/>
  <c r="G26" i="17"/>
  <c r="D26" i="17"/>
  <c r="G25" i="17"/>
  <c r="D25" i="17"/>
  <c r="G24" i="17"/>
  <c r="D24" i="17"/>
  <c r="G23" i="17"/>
  <c r="D23" i="17"/>
  <c r="G22" i="17"/>
  <c r="D22" i="17"/>
  <c r="G21" i="17"/>
  <c r="D21" i="17"/>
  <c r="G20" i="17"/>
  <c r="D20" i="17"/>
  <c r="G19" i="17"/>
  <c r="D19" i="17"/>
  <c r="G17" i="17"/>
  <c r="D17" i="17"/>
  <c r="G16" i="17"/>
  <c r="D16" i="17"/>
  <c r="G15" i="17"/>
  <c r="D15" i="17"/>
  <c r="H14" i="17"/>
  <c r="G14" i="17"/>
  <c r="E14" i="17"/>
  <c r="D14" i="17"/>
  <c r="G13" i="17"/>
  <c r="D13" i="17"/>
  <c r="G12" i="17"/>
  <c r="D12" i="17"/>
  <c r="G10" i="17"/>
  <c r="D10" i="17"/>
  <c r="G9" i="17"/>
  <c r="D9" i="17"/>
  <c r="H15" i="8"/>
  <c r="E15" i="8"/>
  <c r="K15" i="8" s="1"/>
  <c r="K14" i="8"/>
  <c r="H14" i="8"/>
  <c r="I14" i="8" s="1"/>
  <c r="E14" i="8"/>
  <c r="H13" i="8"/>
  <c r="E13" i="8"/>
  <c r="K13" i="8" s="1"/>
  <c r="I12" i="8"/>
  <c r="H12" i="8"/>
  <c r="E12" i="8"/>
  <c r="F12" i="8" s="1"/>
  <c r="H10" i="8"/>
  <c r="E10" i="8"/>
  <c r="K10" i="8" s="1"/>
  <c r="I9" i="8"/>
  <c r="H9" i="8"/>
  <c r="E9" i="8"/>
  <c r="F14" i="8" s="1"/>
  <c r="F32" i="16"/>
  <c r="E32" i="16"/>
  <c r="D32" i="16"/>
  <c r="F31" i="16"/>
  <c r="E31" i="16"/>
  <c r="D31" i="16"/>
  <c r="F29" i="16"/>
  <c r="E29" i="16"/>
  <c r="D29" i="16"/>
  <c r="F28" i="16"/>
  <c r="E28" i="16"/>
  <c r="D28" i="16"/>
  <c r="F27" i="16"/>
  <c r="E27" i="16"/>
  <c r="D27" i="16"/>
  <c r="F26" i="16"/>
  <c r="E26" i="16"/>
  <c r="D26" i="16"/>
  <c r="F25" i="16"/>
  <c r="E25" i="16"/>
  <c r="D25" i="16"/>
  <c r="F24" i="16"/>
  <c r="E24" i="16"/>
  <c r="D24" i="16"/>
  <c r="F22" i="16"/>
  <c r="E22" i="16"/>
  <c r="D22" i="16"/>
  <c r="F21" i="16"/>
  <c r="E21" i="16"/>
  <c r="D21" i="16"/>
  <c r="F20" i="16"/>
  <c r="E20" i="16"/>
  <c r="D20" i="16"/>
  <c r="F19" i="16"/>
  <c r="E19" i="16"/>
  <c r="D19" i="16"/>
  <c r="F18" i="16"/>
  <c r="E18" i="16"/>
  <c r="D18" i="16"/>
  <c r="F17" i="16"/>
  <c r="E17" i="16"/>
  <c r="D17" i="16"/>
  <c r="E15" i="16"/>
  <c r="F14" i="16"/>
  <c r="E14" i="16"/>
  <c r="D14" i="16"/>
  <c r="F13" i="16"/>
  <c r="E13" i="16"/>
  <c r="D13" i="16"/>
  <c r="F12" i="16"/>
  <c r="E12" i="16"/>
  <c r="D12" i="16"/>
  <c r="F11" i="16"/>
  <c r="F15" i="16" s="1"/>
  <c r="E11" i="16"/>
  <c r="D11" i="16"/>
  <c r="D15" i="16" s="1"/>
  <c r="F9" i="16"/>
  <c r="E9" i="16"/>
  <c r="F8" i="16"/>
  <c r="E8" i="16"/>
  <c r="D17" i="5"/>
  <c r="C17" i="5"/>
  <c r="D16" i="5"/>
  <c r="C16" i="5"/>
  <c r="D15" i="5"/>
  <c r="C15" i="5"/>
  <c r="D14" i="5"/>
  <c r="C14" i="5"/>
  <c r="D13" i="5"/>
  <c r="C13" i="5"/>
  <c r="D12" i="5"/>
  <c r="C12" i="5"/>
  <c r="D10" i="5"/>
  <c r="C10" i="5"/>
  <c r="H17" i="4"/>
  <c r="G17" i="4"/>
  <c r="F17" i="4"/>
  <c r="E17" i="4"/>
  <c r="D17" i="4"/>
  <c r="H16" i="4"/>
  <c r="G16" i="4"/>
  <c r="F16" i="4"/>
  <c r="E16" i="4"/>
  <c r="D16" i="4"/>
  <c r="H15" i="4"/>
  <c r="K14" i="4"/>
  <c r="H14" i="4"/>
  <c r="G13" i="4"/>
  <c r="G12" i="4"/>
  <c r="L20" i="13"/>
  <c r="K20" i="13"/>
  <c r="J20" i="13"/>
  <c r="I20" i="13"/>
  <c r="G20" i="13"/>
  <c r="F20" i="13"/>
  <c r="L19" i="13"/>
  <c r="K19" i="13"/>
  <c r="J19" i="13"/>
  <c r="I19" i="13"/>
  <c r="G19" i="13"/>
  <c r="F19" i="13"/>
  <c r="L18" i="13"/>
  <c r="K18" i="13"/>
  <c r="J18" i="13"/>
  <c r="I18" i="13"/>
  <c r="G18" i="13"/>
  <c r="F18" i="13"/>
  <c r="G16" i="13"/>
  <c r="F16" i="13"/>
  <c r="G30" i="3"/>
  <c r="F30" i="3"/>
  <c r="G29" i="3"/>
  <c r="F29" i="3"/>
  <c r="G27" i="3"/>
  <c r="F27" i="3"/>
  <c r="G26" i="3"/>
  <c r="F26" i="3"/>
  <c r="G24" i="3"/>
  <c r="F24" i="3"/>
  <c r="G23" i="3"/>
  <c r="F23" i="3"/>
  <c r="G21" i="3"/>
  <c r="F21" i="3"/>
  <c r="G20" i="3"/>
  <c r="F20" i="3"/>
  <c r="G17" i="3"/>
  <c r="F17" i="3"/>
  <c r="D17" i="3"/>
  <c r="G16" i="3"/>
  <c r="F16" i="3"/>
  <c r="D16" i="3"/>
  <c r="G15" i="3"/>
  <c r="F15" i="3"/>
  <c r="D15" i="3"/>
  <c r="G14" i="3"/>
  <c r="F14" i="3"/>
  <c r="D14" i="3"/>
  <c r="M18" i="10"/>
  <c r="L18" i="10"/>
  <c r="K18" i="10"/>
  <c r="J18" i="10"/>
  <c r="I18" i="10"/>
  <c r="G18" i="10"/>
  <c r="F18" i="10"/>
  <c r="E18" i="10"/>
  <c r="D18" i="10"/>
  <c r="C18" i="10"/>
  <c r="M17" i="10"/>
  <c r="L17" i="10"/>
  <c r="K17" i="10"/>
  <c r="J17" i="10"/>
  <c r="I17" i="10"/>
  <c r="G17" i="10"/>
  <c r="F17" i="10"/>
  <c r="E17" i="10"/>
  <c r="D17" i="10"/>
  <c r="C17" i="10"/>
  <c r="M15" i="10"/>
  <c r="L15" i="10"/>
  <c r="K15" i="10"/>
  <c r="J15" i="10"/>
  <c r="I15" i="10"/>
  <c r="G15" i="10"/>
  <c r="F15" i="10"/>
  <c r="E15" i="10"/>
  <c r="D15" i="10"/>
  <c r="C15" i="10"/>
  <c r="M14" i="10"/>
  <c r="L14" i="10"/>
  <c r="K14" i="10"/>
  <c r="J14" i="10"/>
  <c r="I14" i="10"/>
  <c r="G14" i="10"/>
  <c r="F14" i="10"/>
  <c r="E14" i="10"/>
  <c r="D14" i="10"/>
  <c r="C14" i="10"/>
  <c r="M12" i="10"/>
  <c r="L12" i="10"/>
  <c r="K12" i="10"/>
  <c r="J12" i="10"/>
  <c r="I12" i="10"/>
  <c r="G12" i="10"/>
  <c r="F12" i="10"/>
  <c r="E12" i="10"/>
  <c r="D12" i="10"/>
  <c r="C12" i="10"/>
  <c r="M11" i="10"/>
  <c r="L11" i="10"/>
  <c r="K11" i="10"/>
  <c r="J11" i="10"/>
  <c r="I11" i="10"/>
  <c r="G11" i="10"/>
  <c r="F11" i="10"/>
  <c r="E11" i="10"/>
  <c r="D11" i="10"/>
  <c r="C11" i="10"/>
  <c r="M9" i="10"/>
  <c r="L9" i="10"/>
  <c r="K9" i="10"/>
  <c r="J9" i="10"/>
  <c r="I9" i="10"/>
  <c r="G9" i="10"/>
  <c r="F9" i="10"/>
  <c r="E9" i="10"/>
  <c r="D9" i="10"/>
  <c r="C9" i="10"/>
  <c r="M8" i="10"/>
  <c r="L8" i="10"/>
  <c r="K8" i="10"/>
  <c r="J8" i="10"/>
  <c r="I8" i="10"/>
  <c r="G8" i="10"/>
  <c r="F8" i="10"/>
  <c r="E8" i="10"/>
  <c r="D8" i="10"/>
  <c r="C8" i="10"/>
  <c r="F32" i="15"/>
  <c r="E32" i="15"/>
  <c r="D32" i="15"/>
  <c r="F31" i="15"/>
  <c r="E31" i="15"/>
  <c r="D31" i="15"/>
  <c r="F29" i="15"/>
  <c r="E29" i="15"/>
  <c r="D29" i="15"/>
  <c r="F28" i="15"/>
  <c r="E28" i="15"/>
  <c r="D28" i="15"/>
  <c r="F27" i="15"/>
  <c r="E27" i="15"/>
  <c r="D27" i="15"/>
  <c r="F26" i="15"/>
  <c r="E26" i="15"/>
  <c r="D26" i="15"/>
  <c r="F25" i="15"/>
  <c r="E25" i="15"/>
  <c r="D25" i="15"/>
  <c r="F24" i="15"/>
  <c r="E24" i="15"/>
  <c r="D24" i="15"/>
  <c r="F22" i="15"/>
  <c r="E22" i="15"/>
  <c r="D22" i="15"/>
  <c r="F21" i="15"/>
  <c r="E21" i="15"/>
  <c r="D21" i="15"/>
  <c r="F20" i="15"/>
  <c r="E20" i="15"/>
  <c r="D20" i="15"/>
  <c r="F19" i="15"/>
  <c r="E19" i="15"/>
  <c r="D19" i="15"/>
  <c r="F18" i="15"/>
  <c r="E18" i="15"/>
  <c r="D18" i="15"/>
  <c r="F17" i="15"/>
  <c r="E17" i="15"/>
  <c r="D17" i="15"/>
  <c r="D15" i="15"/>
  <c r="F14" i="15"/>
  <c r="E14" i="15"/>
  <c r="D14" i="15"/>
  <c r="F13" i="15"/>
  <c r="F15" i="15" s="1"/>
  <c r="E13" i="15"/>
  <c r="D13" i="15"/>
  <c r="F12" i="15"/>
  <c r="E12" i="15"/>
  <c r="D12" i="15"/>
  <c r="F11" i="15"/>
  <c r="E11" i="15"/>
  <c r="D11" i="15"/>
  <c r="F9" i="15"/>
  <c r="E9" i="15"/>
  <c r="F8" i="15"/>
  <c r="E8" i="15"/>
  <c r="E15" i="15" s="1"/>
  <c r="H21" i="2"/>
  <c r="E21" i="2"/>
  <c r="H20" i="2"/>
  <c r="E20" i="2"/>
  <c r="H19" i="2"/>
  <c r="E19" i="2"/>
  <c r="H17" i="2"/>
  <c r="E17" i="2"/>
  <c r="D17" i="2"/>
  <c r="H16" i="2"/>
  <c r="G16" i="2"/>
  <c r="E16" i="2"/>
  <c r="D16" i="2"/>
  <c r="D21" i="2" s="1"/>
  <c r="H15" i="2"/>
  <c r="E15" i="2"/>
  <c r="D15" i="2"/>
  <c r="H14" i="2"/>
  <c r="G14" i="2"/>
  <c r="E14" i="2"/>
  <c r="D14" i="2"/>
  <c r="D20" i="2" s="1"/>
  <c r="G12" i="2"/>
  <c r="G20" i="2" s="1"/>
  <c r="D12" i="2"/>
  <c r="H25" i="1"/>
  <c r="G25" i="1"/>
  <c r="E25" i="1"/>
  <c r="D25" i="1"/>
  <c r="C25" i="1"/>
  <c r="H24" i="1"/>
  <c r="G24" i="1"/>
  <c r="E24" i="1"/>
  <c r="D24" i="1"/>
  <c r="C24" i="1"/>
  <c r="E22" i="1"/>
  <c r="D22" i="1"/>
  <c r="C22" i="1"/>
  <c r="H20" i="1"/>
  <c r="G20" i="1"/>
  <c r="E20" i="1"/>
  <c r="D20" i="1"/>
  <c r="C20" i="1"/>
  <c r="H19" i="1"/>
  <c r="G19" i="1"/>
  <c r="E19" i="1"/>
  <c r="D19" i="1"/>
  <c r="C19" i="1"/>
  <c r="H18" i="1"/>
  <c r="G18" i="1"/>
  <c r="E18" i="1"/>
  <c r="D18" i="1"/>
  <c r="C18" i="1"/>
  <c r="H16" i="1"/>
  <c r="G16" i="1"/>
  <c r="E16" i="1"/>
  <c r="D16" i="1"/>
  <c r="C16" i="1"/>
  <c r="G15" i="1"/>
  <c r="E15" i="1"/>
  <c r="D15" i="1"/>
  <c r="C15" i="1"/>
  <c r="H14" i="1"/>
  <c r="G14" i="1"/>
  <c r="E14" i="1"/>
  <c r="C14" i="1"/>
  <c r="H12" i="1"/>
  <c r="G12" i="1"/>
  <c r="E12" i="1"/>
  <c r="D12" i="1"/>
  <c r="C12" i="1"/>
  <c r="H11" i="1"/>
  <c r="G11" i="1"/>
  <c r="E11" i="1"/>
  <c r="D11" i="1"/>
  <c r="C11" i="1"/>
  <c r="H10" i="1"/>
  <c r="G10" i="1"/>
  <c r="E10" i="1"/>
  <c r="D10" i="1"/>
  <c r="C10" i="1"/>
  <c r="H9" i="1"/>
  <c r="G9" i="1"/>
  <c r="E9" i="1"/>
  <c r="D9" i="1"/>
  <c r="C9" i="1"/>
  <c r="H8" i="1"/>
  <c r="G8" i="1"/>
  <c r="E8" i="1"/>
  <c r="D8" i="1"/>
  <c r="C8" i="1"/>
  <c r="H7" i="1"/>
  <c r="G7" i="1"/>
  <c r="E7" i="1"/>
  <c r="D7" i="1"/>
  <c r="C7" i="1"/>
  <c r="H6" i="1"/>
  <c r="G6" i="1"/>
  <c r="E6" i="1"/>
  <c r="D6" i="1"/>
  <c r="C6" i="1"/>
  <c r="J22" i="11" l="1"/>
  <c r="G21" i="11"/>
  <c r="M22" i="11"/>
  <c r="P21" i="11"/>
  <c r="L14" i="8"/>
  <c r="S21" i="11"/>
  <c r="D20" i="11"/>
  <c r="D19" i="2"/>
  <c r="K9" i="8"/>
  <c r="L9" i="8" s="1"/>
  <c r="D20" i="12"/>
  <c r="E23" i="7"/>
  <c r="D23" i="7" s="1"/>
  <c r="K12" i="8"/>
  <c r="L12" i="8" s="1"/>
  <c r="J15" i="11"/>
  <c r="J21" i="11" s="1"/>
  <c r="P16" i="11"/>
  <c r="P18" i="11"/>
  <c r="D13" i="7"/>
  <c r="D18" i="7"/>
  <c r="G20" i="12"/>
  <c r="M15" i="11"/>
  <c r="M21" i="11" s="1"/>
  <c r="G16" i="11"/>
  <c r="G22" i="11" s="1"/>
  <c r="S16" i="11"/>
  <c r="S22" i="11" s="1"/>
  <c r="M17" i="11"/>
  <c r="G18" i="11"/>
  <c r="S18" i="11"/>
  <c r="D14" i="7"/>
  <c r="D19" i="7"/>
  <c r="J20" i="12"/>
  <c r="P20" i="11"/>
  <c r="P22" i="11"/>
  <c r="D15" i="7"/>
  <c r="D22" i="7"/>
  <c r="G15" i="2"/>
  <c r="G17" i="2"/>
  <c r="M15" i="12"/>
  <c r="M21" i="12" s="1"/>
  <c r="M16" i="12"/>
  <c r="M22" i="12" s="1"/>
  <c r="M17" i="12"/>
  <c r="F9" i="8"/>
  <c r="P15" i="11"/>
  <c r="G15" i="11"/>
  <c r="S15" i="11"/>
  <c r="S20" i="11" s="1"/>
  <c r="M16" i="11"/>
  <c r="M20" i="11" l="1"/>
  <c r="G20" i="11"/>
  <c r="M20" i="12"/>
  <c r="D16" i="13"/>
  <c r="G21" i="2"/>
  <c r="J20" i="11"/>
  <c r="G1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tc={C8452E83-99FF-3C44-A092-A79DD350A58B}</author>
    <author>tc={CA9C8C6C-6406-934F-B330-EA5A1B821C65}</author>
    <author>tc={69734496-50D1-424D-B8CC-08270FE7A5E5}</author>
  </authors>
  <commentList>
    <comment ref="D20"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Someone should check my math on this.</t>
      </text>
    </comment>
    <comment ref="J20"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Someone should check my math on this.</t>
      </text>
    </comment>
    <comment ref="P20"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Someone should check my math on this.</t>
      </text>
    </comment>
  </commentList>
</comments>
</file>

<file path=xl/sharedStrings.xml><?xml version="1.0" encoding="utf-8"?>
<sst xmlns="http://schemas.openxmlformats.org/spreadsheetml/2006/main" count="3657" uniqueCount="3401">
  <si>
    <t>Number Persons (millions)</t>
  </si>
  <si>
    <t>Number P-Q obs (millions)</t>
  </si>
  <si>
    <t>3+ Industries</t>
  </si>
  <si>
    <t>2 Industries</t>
  </si>
  <si>
    <t>1 Industry</t>
  </si>
  <si>
    <t>3+ CZ's</t>
  </si>
  <si>
    <t>2 CZ's</t>
  </si>
  <si>
    <t>1 CZ</t>
  </si>
  <si>
    <t>Fraction Hispanic</t>
  </si>
  <si>
    <t>Fraction Foreign Born</t>
  </si>
  <si>
    <t>Subgroups of Estimation Sample:</t>
  </si>
  <si>
    <t>Table 1: Characteristics of Samples Derived from Longitudinal Employer-Household Dynamics (LEHD) Data Base</t>
  </si>
  <si>
    <t>CZ stayers</t>
  </si>
  <si>
    <t>CZ movers</t>
  </si>
  <si>
    <t>Firm movers</t>
  </si>
  <si>
    <t>ln(quarterly earnings)</t>
  </si>
  <si>
    <t>Number of CZ's during sample period:</t>
  </si>
  <si>
    <t>Number of 4-digit industries during sample period:</t>
  </si>
  <si>
    <t>Person-quarter level</t>
  </si>
  <si>
    <t>CZ level</t>
  </si>
  <si>
    <t>Std. Dev. or Correlation</t>
  </si>
  <si>
    <t>Var. Share</t>
  </si>
  <si>
    <t>(1)</t>
  </si>
  <si>
    <t>(2)</t>
  </si>
  <si>
    <t>(3)</t>
  </si>
  <si>
    <t>(4)</t>
  </si>
  <si>
    <t>(5)</t>
  </si>
  <si>
    <t>Variance components (std. deviations in odd-number columns, variance shares in even-numbered columns)</t>
  </si>
  <si>
    <t>Person effects</t>
  </si>
  <si>
    <t>Residual</t>
  </si>
  <si>
    <t>Covariance components (correlations in odd-number columns, variance shares in even-numbered columns)</t>
  </si>
  <si>
    <t>Firm effects</t>
  </si>
  <si>
    <t>Person &amp; firm</t>
  </si>
  <si>
    <t>Person &amp; covariate index</t>
  </si>
  <si>
    <t>Firm &amp; covariate index</t>
  </si>
  <si>
    <t>Log earnings or mean log earnings</t>
  </si>
  <si>
    <t xml:space="preserve">Notes: Table shows variance decompositions based on equation (4).  Columns 1-2 pertain to the variance of individual quarterly earnings. Columns 3-4 pertain to the variance of mean earnings by CZ. Entries in columns 1 &amp; 3 for "variance components" are standard deviations of the earnings components indicated in row headings; for "covariance components" they are the estimated correlations of the indicated components. Entries in columns 2 &amp; 4 are variance shares explained by the variance or covariance components. </t>
  </si>
  <si>
    <t>Table 2: Summary of Estimated AKM Model</t>
  </si>
  <si>
    <t>10 Largest CZ's</t>
  </si>
  <si>
    <t>25 Largest CZ's</t>
  </si>
  <si>
    <t>No dynamics</t>
  </si>
  <si>
    <t>AKM models estimated on young subsample</t>
  </si>
  <si>
    <t>Models with CZ and Industry Effects:</t>
  </si>
  <si>
    <t>CZ Effects only</t>
  </si>
  <si>
    <t>Industry Effects only</t>
  </si>
  <si>
    <t>--</t>
  </si>
  <si>
    <t>R-squared</t>
  </si>
  <si>
    <t>Share of CZ emp. in industry</t>
  </si>
  <si>
    <t>Log share of CZ emp. in industry</t>
  </si>
  <si>
    <t>2-digit industries</t>
  </si>
  <si>
    <t>4-digit industries</t>
  </si>
  <si>
    <t>Standard Dev. of Average CZ premium</t>
  </si>
  <si>
    <t>Decomposition (variance shares):</t>
  </si>
  <si>
    <t>Var(Average Earnings Premium)</t>
  </si>
  <si>
    <t>Var(Composition Effect)</t>
  </si>
  <si>
    <t>Var(Interaction Effect)</t>
  </si>
  <si>
    <t>Cov(Earnings Premium, Composition Effect)</t>
  </si>
  <si>
    <t>Cov(Earnings Premium, Interaction Effect)</t>
  </si>
  <si>
    <t>Cov(Composition Effect, Interaction)</t>
  </si>
  <si>
    <t>Mean log earnings in CZ</t>
  </si>
  <si>
    <t>Log CZ size</t>
  </si>
  <si>
    <t>Components</t>
  </si>
  <si>
    <t>Relative wage premium</t>
  </si>
  <si>
    <t>CZ wage effect components</t>
  </si>
  <si>
    <t>Composition</t>
  </si>
  <si>
    <t>Interaction</t>
  </si>
  <si>
    <t>Covariates</t>
  </si>
  <si>
    <t>Share</t>
  </si>
  <si>
    <t>Sum of relative wage premium and interaction</t>
  </si>
  <si>
    <t>Overall earnings gap between more and less educated workers</t>
  </si>
  <si>
    <t>Variance Decomposition of Wage Gap</t>
  </si>
  <si>
    <t>Wage gap (high- versus low-education workers)</t>
  </si>
  <si>
    <t>Difference in mean person effects</t>
  </si>
  <si>
    <t xml:space="preserve">Difference in covariate indexes </t>
  </si>
  <si>
    <t>Difference in mean CZ wage effect:</t>
  </si>
  <si>
    <t>Cov(Person effects, cov. index)</t>
  </si>
  <si>
    <t>Cov(Person effects, interaction)</t>
  </si>
  <si>
    <t>Sum of all other covariance terms</t>
  </si>
  <si>
    <t>Less educated workers</t>
  </si>
  <si>
    <t>More educated workers</t>
  </si>
  <si>
    <t>Log earnings</t>
  </si>
  <si>
    <t>Top 10</t>
  </si>
  <si>
    <t>All</t>
  </si>
  <si>
    <t>Large Urban</t>
  </si>
  <si>
    <t>Bottom 10</t>
  </si>
  <si>
    <t>(6)</t>
  </si>
  <si>
    <t>(7)</t>
  </si>
  <si>
    <t>(8)</t>
  </si>
  <si>
    <t>CZ effect</t>
  </si>
  <si>
    <t>Middle Range</t>
  </si>
  <si>
    <t>(9)</t>
  </si>
  <si>
    <t>(10)</t>
  </si>
  <si>
    <t>Main sample</t>
  </si>
  <si>
    <t>Non-mover sample</t>
  </si>
  <si>
    <t>No-uncertainty sample</t>
  </si>
  <si>
    <t>Sample size (billions of person-quarter observations)</t>
  </si>
  <si>
    <t>Low education sample</t>
  </si>
  <si>
    <t>High education sample</t>
  </si>
  <si>
    <t xml:space="preserve">Notes: Table shows variance decompositions based on equation (4).  Columns 1-2 and 5-6 pertain to the variance of individual quarterly earnings. Columns 3-4 and 7-8 pertain to the variance of mean earnings by CZ. Entries in odd-numbered columns for "variance components" are standard deviations of the earnings components indicated in row headings; for "covariance components" they are the estimated correlations of the indicated components. Entries in even-numbered columns are variance shares explained by the variance or covariance components. </t>
  </si>
  <si>
    <t/>
  </si>
  <si>
    <t>Preferred model</t>
  </si>
  <si>
    <t>Alternative model controls for:</t>
  </si>
  <si>
    <t>Person fixed effects</t>
  </si>
  <si>
    <t>X</t>
  </si>
  <si>
    <t xml:space="preserve">Year effects and age/experience </t>
  </si>
  <si>
    <t>CZ fixed effects</t>
  </si>
  <si>
    <t>Industry-by-CZ fixed effects</t>
  </si>
  <si>
    <t>Standard deviation of CZ effects</t>
  </si>
  <si>
    <t>Mean log earnings</t>
  </si>
  <si>
    <t>Mean person effect</t>
  </si>
  <si>
    <t>Log size</t>
  </si>
  <si>
    <t>CZ premium (B)</t>
  </si>
  <si>
    <t>Basic decomposition</t>
  </si>
  <si>
    <t>CZ earnings effect</t>
  </si>
  <si>
    <t>Share of gradient due to skills</t>
  </si>
  <si>
    <t>Measures of dispersion in skill composition</t>
  </si>
  <si>
    <t>SD of person effects</t>
  </si>
  <si>
    <t>Share of workers in bottom decile</t>
  </si>
  <si>
    <t>Share of workers in top decile</t>
  </si>
  <si>
    <t>Decomposition of CZ earnings effect</t>
  </si>
  <si>
    <t>Industry composition</t>
  </si>
  <si>
    <t>Within-CZ skill-match</t>
  </si>
  <si>
    <t>Correlation of person &amp; firm effect within CZ</t>
  </si>
  <si>
    <t>Explanatory variable (CZ level)</t>
  </si>
  <si>
    <t xml:space="preserve"> </t>
  </si>
  <si>
    <t xml:space="preserve">Difference, more educated - less educated </t>
  </si>
  <si>
    <t>Covariance Terms (column 1 = correlation of terms)</t>
  </si>
  <si>
    <t>A. Regression of CZ effect from alternative specification on CZ effect from baseline specification</t>
  </si>
  <si>
    <t>B. Estimated effects of work experience from dynamic specification:</t>
  </si>
  <si>
    <t>Table 4:  Mean Log Earnings and Components of Earnings for Groups of CZ's</t>
  </si>
  <si>
    <t>Table 3. CZ characteristics and AKM estimates</t>
  </si>
  <si>
    <t>Table 5: Dynamic specifications, estimated on younger workers</t>
  </si>
  <si>
    <t>Firm fixed effects</t>
  </si>
  <si>
    <t>Std. dev. of estimated CZ effects</t>
  </si>
  <si>
    <t xml:space="preserve">Slope coefficient from regression on </t>
  </si>
  <si>
    <t xml:space="preserve">     CZ effects from main model</t>
  </si>
  <si>
    <t>R-squared coefficient</t>
  </si>
  <si>
    <t>Years of work experience in any CZ</t>
  </si>
  <si>
    <t>Years of work experience in large CZ</t>
  </si>
  <si>
    <t>Dynamic models, large CZs defined as:</t>
  </si>
  <si>
    <t>Models with Person and Aggregated Place Effects</t>
  </si>
  <si>
    <t>Cross-sectional models fit to ACS</t>
  </si>
  <si>
    <t xml:space="preserve">Detailed industry </t>
  </si>
  <si>
    <t>Table 6. Comparisons of Estimated CZ Pay Premiums from Alternative Specifications to Estimates from Preferred Approach</t>
  </si>
  <si>
    <t>Table 7: Simple Linear Regression Models for Estimated CZ-Industry Effects</t>
  </si>
  <si>
    <t>Table 8: Decomposition of Variance of Average CZ Earnings Premium</t>
  </si>
  <si>
    <t xml:space="preserve">Notes: Table shows decomposition of the variance of estimated average CZ wage premium, based on equation (9) in text. Decompositions uses 24 2-digit industries (column 1) or 312 4-digit industries (column 2) to define CZ-by-industry effects. </t>
  </si>
  <si>
    <t>CZ Characteristic (explanatory variable)</t>
  </si>
  <si>
    <t>Table 9. Decomposition of Effect of CZ Characteristics on CZ Earnings Effects</t>
  </si>
  <si>
    <t>Decomposition of CZ earnings effect (based on equation 9)</t>
  </si>
  <si>
    <t>Average earnings premium</t>
  </si>
  <si>
    <t xml:space="preserve">  (term 1 in equation 9)</t>
  </si>
  <si>
    <t>Industry composition effect</t>
  </si>
  <si>
    <t xml:space="preserve">  (term 2 in equation 9)</t>
  </si>
  <si>
    <t>Interaction effect</t>
  </si>
  <si>
    <t xml:space="preserve">  (term 3 in equation 9)</t>
  </si>
  <si>
    <t>Share of gradient due to skill composition</t>
  </si>
  <si>
    <t>Mean person effect (skill composition effect)</t>
  </si>
  <si>
    <t>Table 10. Decomposition of CZ Size Elasticity of Mean Wage by Education Group</t>
  </si>
  <si>
    <t>Coefficient</t>
  </si>
  <si>
    <t>Mean establishment effect (CZ place effect)</t>
  </si>
  <si>
    <t xml:space="preserve">    (skill composition effect)</t>
  </si>
  <si>
    <t xml:space="preserve">Mean establishment effect </t>
  </si>
  <si>
    <t xml:space="preserve">    (CZ place effect)</t>
  </si>
  <si>
    <t>Table 11. Decomposition of Variation in the CZ-level Return to Education</t>
  </si>
  <si>
    <t>Explanatory variable:</t>
  </si>
  <si>
    <t>Establishment effects (CZ</t>
  </si>
  <si>
    <t xml:space="preserve">   wage effect)</t>
  </si>
  <si>
    <t>Resource Intensive</t>
  </si>
  <si>
    <t>Root Mean Squared Error</t>
  </si>
  <si>
    <t xml:space="preserve">Notes: Table shows goodness of fit and estimated regression coefficients from regression of estimated CZ-by-2-digit-industry effects on CZ indicators (column 1), industry indicators (column 2), and CZ and industry indicators (columns 3-5).  Models in columns 4-5 include the share (or log share) of CZ employment in the industry.  Models are fit to person-quarter data after assigning estimated CZ-industry effect and all control variables to each person-quarter observation. </t>
  </si>
  <si>
    <t>Number of Quarters Observed</t>
  </si>
  <si>
    <t>Estimation Sample</t>
  </si>
  <si>
    <t>Variance Share</t>
  </si>
  <si>
    <r>
      <t>Ranked By CZ Effect (Ψ</t>
    </r>
    <r>
      <rPr>
        <vertAlign val="subscript"/>
        <sz val="12"/>
        <color theme="1"/>
        <rFont val="Calibri (Body)"/>
      </rPr>
      <t>c</t>
    </r>
    <r>
      <rPr>
        <sz val="12"/>
        <color theme="1"/>
        <rFont val="Calibri (Body)"/>
      </rPr>
      <t>)</t>
    </r>
  </si>
  <si>
    <t>Covariate index (Xβ)</t>
  </si>
  <si>
    <t>Log Earnings</t>
  </si>
  <si>
    <t>Person Effect</t>
  </si>
  <si>
    <t xml:space="preserve">Covariates </t>
  </si>
  <si>
    <t xml:space="preserve">       × in large CZ</t>
  </si>
  <si>
    <t>Educ., experience, gender, race</t>
  </si>
  <si>
    <t>Region of origin &amp; field of study</t>
  </si>
  <si>
    <r>
      <t>R</t>
    </r>
    <r>
      <rPr>
        <vertAlign val="superscript"/>
        <sz val="12"/>
        <rFont val="Calibri (Body)"/>
      </rPr>
      <t>2</t>
    </r>
    <r>
      <rPr>
        <sz val="12"/>
        <color theme="1"/>
        <rFont val="Calibri (Body)"/>
      </rPr>
      <t xml:space="preserve"> (adjusted)</t>
    </r>
  </si>
  <si>
    <t>Regression of CZ effects from alt. model on preferred estimates</t>
  </si>
  <si>
    <t>Note: Preferred model construct CZ effects as averages of firm effects from AKM specification, as in equation (3). Regressions are of CZ effects from alternative models on CZ effects from preferred model, and are weighted by the number of person-quarter observations in the CZ (in columns 2-3) or by the weighted number of ACS wage observations in the CZ (in columns 4-7).  Alternative models in columns 2-3 are fit to LEHD with person effects and CZ or CZ-by-industry effects, and include the same year and age effects as the preferred model. Alternative models in columns 4-7 are fit to the ACS with observed control variables and CZ effects. Robust standard errors in parentheses.</t>
  </si>
  <si>
    <t>No other controls</t>
  </si>
  <si>
    <t>Plus local emp. share of industry</t>
  </si>
  <si>
    <t>Plus log of local emp. share of industry</t>
  </si>
  <si>
    <t xml:space="preserve">Notes: Table shows variance decompositions of CZ-level mean earnings based on equation (6).  Entries in odd-numbered columns "variance components" are standard deviations of the earnings components indicated in row headings; for "covariance components" they are the estimated correlations of the indicated components. Entries in even-numbered columns are variance shares explained by the variance or covariance components. </t>
  </si>
  <si>
    <t>Cov(Person effects, CZ effect)</t>
  </si>
  <si>
    <t>Of which:</t>
  </si>
  <si>
    <t>Components of Wage Gap (column 1 = std. dev.)</t>
  </si>
  <si>
    <t>Quality Adjusted</t>
  </si>
  <si>
    <t>Unadjusted</t>
  </si>
  <si>
    <t>Monthly Rent (log of rent for renters)</t>
  </si>
  <si>
    <t>Housing Prices (log of home value for owners)</t>
  </si>
  <si>
    <t>Largest 50 CZ's</t>
  </si>
  <si>
    <t>All CZ's</t>
  </si>
  <si>
    <t>Fraction college</t>
  </si>
  <si>
    <t>Notes: Table shows regressions of mean log earnings and other CZ-level measures on CZ mean log earnings, log size, or the fraction of workers with some college or more. Regressions are weighted by CZ size, measured as the number of person-quarter observations in our sample in the CZ.</t>
  </si>
  <si>
    <t>Notes: Table shows regressions of mean log earnings and components of the decomposition given by equations (6) and (9) on CZ mean log earnings, log size, or the fraction of workers with some college or more. Regressions are weighted by CZ size.</t>
  </si>
  <si>
    <t>Notes: Table shows regressions of the difference in mean log earnings of college and non-college workers in a CZ, or components of the decomposition given by equations (12) and (13), on CZ mean log earnings and log size. Regressions are weighted by CZ size.</t>
  </si>
  <si>
    <t>Notes: Table shows variance decomposition of the difference in mean log earnings of college and non-college workers in a CZ, using equations (12) and (13). Analysis is weighted by CZ size.</t>
  </si>
  <si>
    <t>CZ number</t>
  </si>
  <si>
    <t>Rank</t>
  </si>
  <si>
    <t>Approx. premium</t>
  </si>
  <si>
    <t>Notes: CZ premiums are best linear predictors of non-disclosed LEHD-based premiums from public ACS data, using as predictors the estimated premium from our first cross-sectional model, the log size of the CZ, and the share of workers in the CZ with some college or more. Premiums are normalized to weighted mean zero across CZs.</t>
  </si>
  <si>
    <t>Largest city in CZ</t>
  </si>
  <si>
    <t>College share</t>
  </si>
  <si>
    <t>Event study samples:</t>
  </si>
  <si>
    <t xml:space="preserve">   (standard deviation)</t>
  </si>
  <si>
    <t>Fraction Female</t>
  </si>
  <si>
    <t>Mean Age</t>
  </si>
  <si>
    <t>Notes: Sample includes person-quarter (PQ) observations for indivduals age 22-62 with at least 8 quarters of employment in the LEHD 2010Q1 to 2018Q2. Quarterly observations for individuals with multiple employers are excluded, as are the first and last (transitional) quarters of any spell with the same employer, quarters for which industry or location information is missing, and quarters with earnings less than $3,800. Event study samples use 5 quarters of earnings before a move and 5 quarters after, and are limited to people with a single move (between firms in column 4, or between CZs with no change in industry in column 5) in that window.</t>
  </si>
  <si>
    <t xml:space="preserve">Notes: Panel A shows regressions of estimated CZ effects from alternative models, all estimated using only individuals under age 26 in 2010, on the CZ effects from our main specification. Number of observations is 741 (regressions weighted by CZ size). Robust standard errors in parentheses. Panel B shows estimated regression coefficients for experience terms from the dynamic specifications. In column 2, "large CZs" are the 10 largest CZ's, and "large CZ experience" is previous quarters of work in these 10 CZs. In column 3, "large CZs" are the 25 largest CZ's, with "large CZ experience" defined commensurately.  Standard errors, clustered by the first CZ in which a person is observed in our sample, in parentheses. </t>
  </si>
  <si>
    <t>Notes: Table shows regressions of mean log earnings by education group (high school or less vs. some college or more) and components of the decomposition given by equation (6) on CZ mean log earnings, log size, or the fraction of workers with some college or more. Regressions are weighted by the number of person-quarter observations in the relevant education group. Column 5 represents the difference between column 3 and column 2; standard errors assume estimates are independent across the education groups.</t>
  </si>
  <si>
    <t>Cov(Person effects, relative wage premium)</t>
  </si>
  <si>
    <t>Cov(Person effects, composition)</t>
  </si>
  <si>
    <t xml:space="preserve">Appendix Table 7: Elasticities of Housing Values and Rents with respect to CZ Size </t>
  </si>
  <si>
    <t xml:space="preserve">Note: Table entries are regression coefficients (and standard errors) from weighted OLS regressions of CZ-average housing price measure in row heading on constant and log of number of workers in CZ.  Regressions are weighted by number of workers in CZ. Sample in column 1 is set of 678 CZ's in 2018 5-year ACS with non-missing data. Sample in column 2 is 50 largest CZ's, ranked by number of workers. Quality adjusted values and rents derive from regressions on indicator for type of housing unit, number of bedrooms, log of total number of rooms, year of construction, and indicator for mortgage (for home values) or set of indicators for inclusion of utility costs (for rents). </t>
  </si>
  <si>
    <t>Appendix Table 6: Variance Decomposition of CZ Wage Gap between High- and Low-education Workers</t>
  </si>
  <si>
    <t>Appendix Table 3. Predictions of CZ wage premiums based on public data (top 50 CZs)</t>
  </si>
  <si>
    <t>Appendix Table 5: Summary of AKM model estimates by education group</t>
  </si>
  <si>
    <t>Appendix Table 4: Comparison of CZ-Level Variance Decompositions for Main Sample, No-Uncertainty Sample, and Non-Mover Sample</t>
  </si>
  <si>
    <t xml:space="preserve">Note: Table entries are estimated regression coefficient, robust standard error (in parentheses) and R-squared [in square brackets] from OLS regression of estimated CZ wage or earnings differential on log of CZ size.  Models in column 1 are fit to unadjusted mean log hourly wages or mean log annual earnings. Models in columns 2 and 3 are fit to adjusted CZ earnings differentials derived from models described in text.  All models are fit by weighted least squares using as a weight the total number of worker observations for the CZ in the 2010-2018 ACS sample. </t>
  </si>
  <si>
    <t>Log annual earnings</t>
  </si>
  <si>
    <t>Log hourly wage</t>
  </si>
  <si>
    <t>Some College or More Workers(&gt;12 years education)</t>
  </si>
  <si>
    <t>High School-educated Workers (12 years education)</t>
  </si>
  <si>
    <t>All Workers</t>
  </si>
  <si>
    <t>from Model 3</t>
  </si>
  <si>
    <t>from Model 2</t>
  </si>
  <si>
    <t>CZ Effect</t>
  </si>
  <si>
    <t xml:space="preserve">Appendix Table 1:  CZ size effects on log hourly wages and log annual earnings, ACS data </t>
  </si>
  <si>
    <t>Notes: Table entries are regression coefficients from univariate regressions of dependent variable shown in row heading on independent variable indicated in column heading. Hours last year includes zeros for non-workers. All models are estimated using data for 691 CZ's and characteristics estimated using 2010-2018 ACS files. "Adjusted" means that the dependent variable or the independent variable (or both) is estimated from a model with CZ dummies and a set of individual characteristics. All regression models are weighted by the (weighted) count of working-age people in the CZ in the ACS files.  Robust standard errors in parentheses.</t>
  </si>
  <si>
    <t xml:space="preserve">  (adjusted)</t>
  </si>
  <si>
    <t>Hours last year</t>
  </si>
  <si>
    <t>Employed last year</t>
  </si>
  <si>
    <t>Dependent Variable = CZ-mean of:</t>
  </si>
  <si>
    <t>Adjusted</t>
  </si>
  <si>
    <t xml:space="preserve"> Unadjusted</t>
  </si>
  <si>
    <t>Regressed on mean log wage in CZ</t>
  </si>
  <si>
    <t>Regressed on log(size)</t>
  </si>
  <si>
    <t>Females only</t>
  </si>
  <si>
    <t>Males only</t>
  </si>
  <si>
    <t>Both Genders</t>
  </si>
  <si>
    <t>Appendix Table 2: Models for CZ employment rates and average hours, ACS data</t>
  </si>
  <si>
    <r>
      <t>Grouped By Quintile of CZ Effect (Ψ</t>
    </r>
    <r>
      <rPr>
        <vertAlign val="subscript"/>
        <sz val="12"/>
        <color theme="1"/>
        <rFont val="Calibri (Body)"/>
      </rPr>
      <t>c</t>
    </r>
    <r>
      <rPr>
        <sz val="12"/>
        <color theme="1"/>
        <rFont val="Calibri (Body)"/>
      </rPr>
      <t>; 1=lowest)</t>
    </r>
  </si>
  <si>
    <t>Notes: Analyses are weighted by CZ size. Mean and standard deviations (in parentheses) are based on the across-CZ distribution. Columns 2-5 include only CZs with at least 25,000 people.</t>
  </si>
  <si>
    <t>Output 1: Descriptive Table</t>
  </si>
  <si>
    <t/>
  </si>
  <si>
    <t/>
  </si>
  <si>
    <t/>
  </si>
  <si>
    <t/>
  </si>
  <si>
    <t/>
  </si>
  <si>
    <t>lne</t>
  </si>
  <si>
    <t/>
  </si>
  <si>
    <t>age</t>
  </si>
  <si>
    <t/>
  </si>
  <si>
    <t>gender</t>
  </si>
  <si>
    <t/>
  </si>
  <si>
    <t>forborn</t>
  </si>
  <si>
    <t/>
  </si>
  <si>
    <t>hisp</t>
  </si>
  <si>
    <t/>
  </si>
  <si>
    <t>czcnt1</t>
  </si>
  <si>
    <t/>
  </si>
  <si>
    <t>czcnt2</t>
  </si>
  <si>
    <t/>
  </si>
  <si>
    <t>czcnt3</t>
  </si>
  <si>
    <t/>
  </si>
  <si>
    <t>naics4dswitch0</t>
  </si>
  <si>
    <t/>
  </si>
  <si>
    <t>naics4dswitch1</t>
  </si>
  <si>
    <t/>
  </si>
  <si>
    <t>naics4dswitch2</t>
  </si>
  <si>
    <t/>
  </si>
  <si>
    <t>qobserved</t>
  </si>
  <si>
    <t/>
  </si>
  <si>
    <t>Observations</t>
  </si>
  <si>
    <t>Unique PIKs</t>
  </si>
  <si>
    <t/>
  </si>
  <si>
    <t/>
  </si>
  <si>
    <t>(1)</t>
  </si>
  <si>
    <t/>
  </si>
  <si>
    <t>Sample 8</t>
  </si>
  <si>
    <t>mean/sd</t>
  </si>
  <si>
    <t>9.434</t>
  </si>
  <si>
    <t>(.5956)</t>
  </si>
  <si>
    <t>42.44</t>
  </si>
  <si>
    <t>(10.78)</t>
  </si>
  <si>
    <t>.4728</t>
  </si>
  <si>
    <t>(.4993)</t>
  </si>
  <si>
    <t>.1612</t>
  </si>
  <si>
    <t>(.3677)</t>
  </si>
  <si>
    <t>.1333</t>
  </si>
  <si>
    <t>(.3399)</t>
  </si>
  <si>
    <t>.7276</t>
  </si>
  <si>
    <t>(.4452)</t>
  </si>
  <si>
    <t>.2033</t>
  </si>
  <si>
    <t>(.4024)</t>
  </si>
  <si>
    <t>.06913</t>
  </si>
  <si>
    <t>(.2537)</t>
  </si>
  <si>
    <t>.6483</t>
  </si>
  <si>
    <t>(.4775)</t>
  </si>
  <si>
    <t>.2466</t>
  </si>
  <si>
    <t>(.4311)</t>
  </si>
  <si>
    <t>.1051</t>
  </si>
  <si>
    <t>(.3066)</t>
  </si>
  <si>
    <t>25.88</t>
  </si>
  <si>
    <t>(7.658)</t>
  </si>
  <si>
    <t>2523000000</t>
  </si>
  <si>
    <t>112100000</t>
  </si>
  <si>
    <t/>
  </si>
  <si>
    <t/>
  </si>
  <si>
    <t>(2)</t>
  </si>
  <si>
    <t>Sample 8</t>
  </si>
  <si>
    <t>CZ stayers subgroup</t>
  </si>
  <si>
    <t>mean/sd</t>
  </si>
  <si>
    <t>9.431</t>
  </si>
  <si>
    <t>(.5945)</t>
  </si>
  <si>
    <t>43.56</t>
  </si>
  <si>
    <t>(10.73)</t>
  </si>
  <si>
    <t>.49</t>
  </si>
  <si>
    <t>(.4999)</t>
  </si>
  <si>
    <t>.1676</t>
  </si>
  <si>
    <t>-.3735</t>
  </si>
  <si>
    <t>.138</t>
  </si>
  <si>
    <t>(.3449)</t>
  </si>
  <si>
    <t/>
  </si>
  <si>
    <t/>
  </si>
  <si>
    <t/>
  </si>
  <si>
    <t/>
  </si>
  <si>
    <t/>
  </si>
  <si>
    <t/>
  </si>
  <si>
    <t>.6777</t>
  </si>
  <si>
    <t>(.4673)</t>
  </si>
  <si>
    <t>.2281</t>
  </si>
  <si>
    <t>(.4196)</t>
  </si>
  <si>
    <t>.09412</t>
  </si>
  <si>
    <t>(.292)</t>
  </si>
  <si>
    <t>26.84</t>
  </si>
  <si>
    <t>(7.677)</t>
  </si>
  <si>
    <t>1835000000</t>
  </si>
  <si>
    <t>78590000</t>
  </si>
  <si>
    <t/>
  </si>
  <si>
    <t/>
  </si>
  <si>
    <t>(3)</t>
  </si>
  <si>
    <t/>
  </si>
  <si>
    <t>CZ movers subgroup</t>
  </si>
  <si>
    <t>mean/sd</t>
  </si>
  <si>
    <t>9.441</t>
  </si>
  <si>
    <t>(.5985)</t>
  </si>
  <si>
    <t>39.45</t>
  </si>
  <si>
    <t>(10.32)</t>
  </si>
  <si>
    <t>.4269</t>
  </si>
  <si>
    <t>(.4946)</t>
  </si>
  <si>
    <t>.1439</t>
  </si>
  <si>
    <t>(.351)</t>
  </si>
  <si>
    <t>.1206</t>
  </si>
  <si>
    <t>(.3256)</t>
  </si>
  <si>
    <t/>
  </si>
  <si>
    <t/>
  </si>
  <si>
    <t>.7462</t>
  </si>
  <si>
    <t>(.4352)</t>
  </si>
  <si>
    <t>.2538</t>
  </si>
  <si>
    <t>(.4352)</t>
  </si>
  <si>
    <t>.5697</t>
  </si>
  <si>
    <t>(.4951)</t>
  </si>
  <si>
    <t>.296</t>
  </si>
  <si>
    <t>(.4565)</t>
  </si>
  <si>
    <t>.1343</t>
  </si>
  <si>
    <t>(.341)</t>
  </si>
  <si>
    <t>23.32</t>
  </si>
  <si>
    <t>(6.988)</t>
  </si>
  <si>
    <t>687200000</t>
  </si>
  <si>
    <t>33520000</t>
  </si>
  <si>
    <t/>
  </si>
  <si>
    <t/>
  </si>
  <si>
    <t>(4)</t>
  </si>
  <si>
    <t>Sample 9</t>
  </si>
  <si>
    <t>Event study sample - firm</t>
  </si>
  <si>
    <t>mean/sd</t>
  </si>
  <si>
    <t>9.506</t>
  </si>
  <si>
    <t>(.6334)</t>
  </si>
  <si>
    <t>40.93</t>
  </si>
  <si>
    <t>(10.63)</t>
  </si>
  <si>
    <t>.4605</t>
  </si>
  <si>
    <t>(.4984)</t>
  </si>
  <si>
    <t>.1512</t>
  </si>
  <si>
    <t>(.3582)</t>
  </si>
  <si>
    <t>.1214</t>
  </si>
  <si>
    <t>(.3266)</t>
  </si>
  <si>
    <t>.6677</t>
  </si>
  <si>
    <t>(.471)</t>
  </si>
  <si>
    <t>.3323</t>
  </si>
  <si>
    <t>(.471)</t>
  </si>
  <si>
    <t/>
  </si>
  <si>
    <t/>
  </si>
  <si>
    <t>.6238</t>
  </si>
  <si>
    <t>(.4844)</t>
  </si>
  <si>
    <t>.3666</t>
  </si>
  <si>
    <t>(.4819)</t>
  </si>
  <si>
    <t>.009586</t>
  </si>
  <si>
    <t>(.09744)</t>
  </si>
  <si>
    <t/>
  </si>
  <si>
    <t/>
  </si>
  <si>
    <t>193400000</t>
  </si>
  <si>
    <t>19340000</t>
  </si>
  <si>
    <t/>
  </si>
  <si>
    <t/>
  </si>
  <si>
    <t>(5)</t>
  </si>
  <si>
    <t>Sample 10</t>
  </si>
  <si>
    <t>Event study sample - CZ</t>
  </si>
  <si>
    <t>mean/sd</t>
  </si>
  <si>
    <t>9.548</t>
  </si>
  <si>
    <t>(.6501)</t>
  </si>
  <si>
    <t>40.08</t>
  </si>
  <si>
    <t>(10.56)</t>
  </si>
  <si>
    <t>.4253</t>
  </si>
  <si>
    <t>(.4944)</t>
  </si>
  <si>
    <t>.1346</t>
  </si>
  <si>
    <t>(.3413)</t>
  </si>
  <si>
    <t>.1029</t>
  </si>
  <si>
    <t>(.3039)</t>
  </si>
  <si>
    <t/>
  </si>
  <si>
    <t/>
  </si>
  <si>
    <t/>
  </si>
  <si>
    <t/>
  </si>
  <si>
    <t/>
  </si>
  <si>
    <t/>
  </si>
  <si>
    <t>.9949</t>
  </si>
  <si>
    <t>(.07126)</t>
  </si>
  <si>
    <t>.005103</t>
  </si>
  <si>
    <t>(.07125)</t>
  </si>
  <si>
    <t/>
  </si>
  <si>
    <t/>
  </si>
  <si>
    <t/>
  </si>
  <si>
    <t/>
  </si>
  <si>
    <t>67170000</t>
  </si>
  <si>
    <t>6717000</t>
  </si>
  <si>
    <t>Output 2: Main decomposition AKM</t>
  </si>
  <si>
    <t/>
  </si>
  <si>
    <t/>
  </si>
  <si>
    <t/>
  </si>
  <si>
    <t/>
  </si>
  <si>
    <t/>
  </si>
  <si>
    <t>y (sd)</t>
  </si>
  <si>
    <t>pe - variance share</t>
  </si>
  <si>
    <t>fe  - variance share</t>
  </si>
  <si>
    <t>xb  - variance share</t>
  </si>
  <si>
    <t>r  - variance share</t>
  </si>
  <si>
    <t>cov(pe,fe)  - variance share</t>
  </si>
  <si>
    <t>cov(pe,xb)   - variance share</t>
  </si>
  <si>
    <t>cov(pe,r)  - variance share</t>
  </si>
  <si>
    <t>cov(fe,xb)  - variance share</t>
  </si>
  <si>
    <t>cov(fe,r)  - variance share</t>
  </si>
  <si>
    <t>cov(xb,r)  - variance share</t>
  </si>
  <si>
    <t>Number of Person-quarter observations</t>
  </si>
  <si>
    <t/>
  </si>
  <si>
    <t/>
  </si>
  <si>
    <t/>
  </si>
  <si>
    <t/>
  </si>
  <si>
    <t>sum of variance shares</t>
  </si>
  <si>
    <t>sum of covariance shares</t>
  </si>
  <si>
    <t/>
  </si>
  <si>
    <t>cov(pe,fe)/var(fe)</t>
  </si>
  <si>
    <t/>
  </si>
  <si>
    <t>correl (pe,fe)</t>
  </si>
  <si>
    <t/>
  </si>
  <si>
    <t/>
  </si>
  <si>
    <t>Sample 8</t>
  </si>
  <si>
    <t>Person-quarter</t>
  </si>
  <si>
    <t/>
  </si>
  <si>
    <t>SD &amp; Var%</t>
  </si>
  <si>
    <t>.6526</t>
  </si>
  <si>
    <t>.6444</t>
  </si>
  <si>
    <t>.1166</t>
  </si>
  <si>
    <t>.04259</t>
  </si>
  <si>
    <t>.1265</t>
  </si>
  <si>
    <t>.1</t>
  </si>
  <si>
    <t>-.0331</t>
  </si>
  <si>
    <t>0</t>
  </si>
  <si>
    <t>.002885</t>
  </si>
  <si>
    <t>0</t>
  </si>
  <si>
    <t>.000186</t>
  </si>
  <si>
    <t>2523000000</t>
  </si>
  <si>
    <t/>
  </si>
  <si>
    <t/>
  </si>
  <si>
    <t/>
  </si>
  <si>
    <t/>
  </si>
  <si>
    <t>.9300900000000001</t>
  </si>
  <si>
    <t>.069971</t>
  </si>
  <si>
    <t/>
  </si>
  <si>
    <t>.4288164665523156</t>
  </si>
  <si>
    <t/>
  </si>
  <si>
    <t>.1824076142937905</t>
  </si>
  <si>
    <t/>
  </si>
  <si>
    <t/>
  </si>
  <si>
    <t/>
  </si>
  <si>
    <t>CZ</t>
  </si>
  <si>
    <t/>
  </si>
  <si>
    <t>SD &amp; Var%</t>
  </si>
  <si>
    <t>.1467</t>
  </si>
  <si>
    <t>.3033</t>
  </si>
  <si>
    <t>.2926</t>
  </si>
  <si>
    <t>.001528</t>
  </si>
  <si>
    <t/>
  </si>
  <si>
    <t>.3824</t>
  </si>
  <si>
    <t>.009799</t>
  </si>
  <si>
    <t/>
  </si>
  <si>
    <t>.01037</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</si>
  <si>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</si>
  <si>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</si>
  <si>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</si>
  <si>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</si>
  <si>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</si>
  <si>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</si>
  <si>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</si>
  <si>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</si>
  <si>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</si>
  <si>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</si>
  <si>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</si>
  <si>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</si>
  <si>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</si>
  <si>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</si>
  <si>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</si>
  <si>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</si>
  <si>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</si>
  <si>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</si>
  <si>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</si>
  <si>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</si>
  <si>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</si>
  <si>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</si>
  <si>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</si>
  <si>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</si>
  <si>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</si>
  <si>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</si>
  <si>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</si>
  <si>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</si>
  <si>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</si>
  <si>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</si>
  <si>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</si>
  <si>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</si>
  <si>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</si>
  <si>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</si>
  <si>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</si>
  <si>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</si>
  <si>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</si>
  <si>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</si>
  <si>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</si>
  <si>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</si>
  <si>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</si>
  <si>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</si>
  <si>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</si>
  <si>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</si>
  <si>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</si>
  <si>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</si>
  <si>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</si>
  <si>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</si>
  <si>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</si>
  <si>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</si>
  <si>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</si>
  <si>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</si>
  <si>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</si>
  <si>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</si>
  <si>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</si>
  <si>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</si>
  <si>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</si>
  <si>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</si>
  <si>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</si>
  <si>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</si>
  <si>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</si>
  <si>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</si>
  <si>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</si>
  <si>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</si>
  <si>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</si>
  <si>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</si>
  <si>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</si>
  <si>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</si>
  <si>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</si>
  <si>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</si>
  <si>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</si>
  <si>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</si>
  <si>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</si>
  <si>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</si>
  <si>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</si>
  <si>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</si>
  <si>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</si>
  <si>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.049658396216</t>
  </si>
  <si>
    <t/>
  </si>
  <si>
    <t/>
  </si>
  <si>
    <t/>
  </si>
  <si>
    <t/>
  </si>
  <si>
    <t/>
  </si>
  <si>
    <t/>
  </si>
  <si>
    <t/>
  </si>
  <si>
    <t/>
  </si>
  <si>
    <t/>
  </si>
  <si>
    <t/>
  </si>
  <si>
    <t/>
  </si>
  <si>
    <t/>
  </si>
  <si>
    <t/>
  </si>
  <si>
    <t/>
  </si>
  <si>
    <t/>
  </si>
  <si>
    <t/>
  </si>
  <si>
    <t/>
  </si>
  <si>
    <t/>
  </si>
  <si>
    <t/>
  </si>
  <si>
    <t/>
  </si>
  <si>
    <t/>
  </si>
  <si>
    <t/>
  </si>
  <si>
    <t/>
  </si>
  <si>
    <t/>
  </si>
  <si>
    <t/>
  </si>
  <si>
    <t/>
  </si>
  <si>
    <t/>
  </si>
  <si>
    <t>.2228416393226365</t>
  </si>
  <si>
    <t/>
  </si>
  <si>
    <t/>
  </si>
  <si>
    <t/>
  </si>
  <si>
    <t/>
  </si>
  <si>
    <t/>
  </si>
  <si>
    <t/>
  </si>
  <si>
    <t/>
  </si>
  <si>
    <t/>
  </si>
  <si>
    <t/>
  </si>
  <si>
    <t/>
  </si>
  <si>
    <t/>
  </si>
  <si>
    <t/>
  </si>
  <si>
    <t/>
  </si>
  <si>
    <t/>
  </si>
  <si>
    <t/>
  </si>
  <si>
    <t/>
  </si>
  <si>
    <t/>
  </si>
  <si>
    <t/>
  </si>
  <si>
    <t/>
  </si>
  <si>
    <t xml:space="preserve">Regression coefficients on experience regressors in alternative AKM model specifications </t>
  </si>
  <si>
    <t/>
  </si>
  <si>
    <t/>
  </si>
  <si>
    <t/>
  </si>
  <si>
    <t/>
  </si>
  <si>
    <t/>
  </si>
  <si>
    <t/>
  </si>
  <si>
    <t>coefficients on:</t>
  </si>
  <si>
    <t/>
  </si>
  <si>
    <t>timeinGall</t>
  </si>
  <si>
    <t/>
  </si>
  <si>
    <t/>
  </si>
  <si>
    <t>timeintop10</t>
  </si>
  <si>
    <t/>
  </si>
  <si>
    <t/>
  </si>
  <si>
    <t>1.intop10 # c.timeinGall</t>
  </si>
  <si>
    <t/>
  </si>
  <si>
    <t/>
  </si>
  <si>
    <t>1.intop10 # c.timeintop10</t>
  </si>
  <si>
    <t/>
  </si>
  <si>
    <t/>
  </si>
  <si>
    <t>timeintop25</t>
  </si>
  <si>
    <t/>
  </si>
  <si>
    <t/>
  </si>
  <si>
    <t>1.intop25 # c.timeinGall</t>
  </si>
  <si>
    <t/>
  </si>
  <si>
    <t/>
  </si>
  <si>
    <t>1.intop25 # c.timeintop25</t>
  </si>
  <si>
    <t/>
  </si>
  <si>
    <t/>
  </si>
  <si>
    <t/>
  </si>
  <si>
    <t>Number of Person-quarter observations</t>
  </si>
  <si>
    <t/>
  </si>
  <si>
    <t/>
  </si>
  <si>
    <t/>
  </si>
  <si>
    <t>Sample 8</t>
  </si>
  <si>
    <t/>
  </si>
  <si>
    <t>young subgroup</t>
  </si>
  <si>
    <t>(1)</t>
  </si>
  <si>
    <t>top10 spec</t>
  </si>
  <si>
    <t/>
  </si>
  <si>
    <t>.004267</t>
  </si>
  <si>
    <t>(.0003357)</t>
  </si>
  <si>
    <t/>
  </si>
  <si>
    <t>.004061</t>
  </si>
  <si>
    <t>(.001727)</t>
  </si>
  <si>
    <t/>
  </si>
  <si>
    <t>.00179</t>
  </si>
  <si>
    <t>(.001655)</t>
  </si>
  <si>
    <t/>
  </si>
  <si>
    <t>-.001961</t>
  </si>
  <si>
    <t>(.0003007)</t>
  </si>
  <si>
    <t/>
  </si>
  <si>
    <t/>
  </si>
  <si>
    <t/>
  </si>
  <si>
    <t/>
  </si>
  <si>
    <t/>
  </si>
  <si>
    <t/>
  </si>
  <si>
    <t/>
  </si>
  <si>
    <t/>
  </si>
  <si>
    <t/>
  </si>
  <si>
    <t/>
  </si>
  <si>
    <t/>
  </si>
  <si>
    <t>478600000</t>
  </si>
  <si>
    <t/>
  </si>
  <si>
    <t/>
  </si>
  <si>
    <t/>
  </si>
  <si>
    <t/>
  </si>
  <si>
    <t/>
  </si>
  <si>
    <t/>
  </si>
  <si>
    <t>(2)</t>
  </si>
  <si>
    <t>top 25 spec</t>
  </si>
  <si>
    <t/>
  </si>
  <si>
    <t>.003482</t>
  </si>
  <si>
    <t>(.0003689)</t>
  </si>
  <si>
    <t/>
  </si>
  <si>
    <t/>
  </si>
  <si>
    <t/>
  </si>
  <si>
    <t/>
  </si>
  <si>
    <t/>
  </si>
  <si>
    <t/>
  </si>
  <si>
    <t/>
  </si>
  <si>
    <t/>
  </si>
  <si>
    <t/>
  </si>
  <si>
    <t/>
  </si>
  <si>
    <t>.003954</t>
  </si>
  <si>
    <t>(.0009851)</t>
  </si>
  <si>
    <t/>
  </si>
  <si>
    <t>.0004641</t>
  </si>
  <si>
    <t>(.0009549)</t>
  </si>
  <si>
    <t/>
  </si>
  <si>
    <t>-.000383</t>
  </si>
  <si>
    <t>(.0002544)</t>
  </si>
  <si>
    <t/>
  </si>
  <si>
    <t/>
  </si>
  <si>
    <t>478600000</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</si>
  <si>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</si>
  <si>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</si>
  <si>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</si>
  <si>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</si>
  <si>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</si>
  <si>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</si>
  <si>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</si>
  <si>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</si>
  <si>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</si>
  <si>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</si>
  <si>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</si>
  <si>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</si>
  <si>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</si>
  <si>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</si>
  <si>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</si>
  <si>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</si>
  <si>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</si>
  <si>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</si>
  <si>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</si>
  <si>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</si>
  <si>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</si>
  <si>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</si>
  <si>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</si>
  <si>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</si>
  <si>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</si>
  <si>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</si>
  <si>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</si>
  <si>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</si>
  <si>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</si>
  <si>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</si>
  <si>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</si>
  <si>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</si>
  <si>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</si>
  <si>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</si>
  <si>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</si>
  <si>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</si>
  <si>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</si>
  <si>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</si>
  <si>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</si>
  <si>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</si>
  <si>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</si>
  <si>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</si>
  <si>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</si>
  <si>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</si>
  <si>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</si>
  <si>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</si>
  <si>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</si>
  <si>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</si>
  <si>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</si>
  <si>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</si>
  <si>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</si>
  <si>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</si>
  <si>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</si>
  <si>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</si>
  <si>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</si>
  <si>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</si>
  <si>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</si>
  <si>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</si>
  <si>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</si>
  <si>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</si>
  <si>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</si>
  <si>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</si>
  <si>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</si>
  <si>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</si>
  <si>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</si>
  <si>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</si>
  <si>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</si>
  <si>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</si>
  <si>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</si>
  <si>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</si>
  <si>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</si>
  <si>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</si>
  <si>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</si>
  <si>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</si>
  <si>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</si>
  <si>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</si>
  <si>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</si>
  <si>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</si>
  <si>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</si>
  <si>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</si>
  <si>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</si>
  <si>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</si>
  <si>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</si>
  <si>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</si>
  <si>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</si>
  <si>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</si>
  <si>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</si>
  <si>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</si>
  <si>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</si>
  <si>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</si>
  <si>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</si>
  <si>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</si>
  <si>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</si>
  <si>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</si>
  <si>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</si>
  <si>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</si>
  <si>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xml:space="preserve">Models for $ \Psi_{jc} $ </t>
  </si>
  <si>
    <t/>
  </si>
  <si>
    <t/>
  </si>
  <si>
    <t/>
  </si>
  <si>
    <t/>
  </si>
  <si>
    <t>sjc</t>
  </si>
  <si>
    <t/>
  </si>
  <si>
    <t/>
  </si>
  <si>
    <t>ln(njc)</t>
  </si>
  <si>
    <t/>
  </si>
  <si>
    <t/>
  </si>
  <si>
    <t>Number of CZ-industries</t>
  </si>
  <si>
    <t>Number of Person-quarter observations</t>
  </si>
  <si>
    <t>R-squared</t>
  </si>
  <si>
    <t>RMSE</t>
  </si>
  <si>
    <t/>
  </si>
  <si>
    <t>Sample 8</t>
  </si>
  <si>
    <t>1</t>
  </si>
  <si>
    <t>CZ effects</t>
  </si>
  <si>
    <t/>
  </si>
  <si>
    <t/>
  </si>
  <si>
    <t/>
  </si>
  <si>
    <t/>
  </si>
  <si>
    <t/>
  </si>
  <si>
    <t/>
  </si>
  <si>
    <t/>
  </si>
  <si>
    <t>17000</t>
  </si>
  <si>
    <t>2523000000</t>
  </si>
  <si>
    <t>0.326</t>
  </si>
  <si>
    <t>0.117</t>
  </si>
  <si>
    <t/>
  </si>
  <si>
    <t/>
  </si>
  <si>
    <t>2</t>
  </si>
  <si>
    <t>Industry effects</t>
  </si>
  <si>
    <t/>
  </si>
  <si>
    <t/>
  </si>
  <si>
    <t/>
  </si>
  <si>
    <t/>
  </si>
  <si>
    <t/>
  </si>
  <si>
    <t/>
  </si>
  <si>
    <t/>
  </si>
  <si>
    <t>17000</t>
  </si>
  <si>
    <t>2523000000</t>
  </si>
  <si>
    <t>0.570</t>
  </si>
  <si>
    <t>0.0912</t>
  </si>
  <si>
    <t/>
  </si>
  <si>
    <t/>
  </si>
  <si>
    <t>3</t>
  </si>
  <si>
    <t>CZ + industry effects</t>
  </si>
  <si>
    <t/>
  </si>
  <si>
    <t/>
  </si>
  <si>
    <t/>
  </si>
  <si>
    <t/>
  </si>
  <si>
    <t/>
  </si>
  <si>
    <t/>
  </si>
  <si>
    <t/>
  </si>
  <si>
    <t>17000</t>
  </si>
  <si>
    <t>2523000000</t>
  </si>
  <si>
    <t>0.873</t>
  </si>
  <si>
    <t>0.0506</t>
  </si>
  <si>
    <t/>
  </si>
  <si>
    <t/>
  </si>
  <si>
    <t>4</t>
  </si>
  <si>
    <t>CZ+ind effects + sjc</t>
  </si>
  <si>
    <t/>
  </si>
  <si>
    <t>0.451***</t>
  </si>
  <si>
    <t>(0.0325)</t>
  </si>
  <si>
    <t/>
  </si>
  <si>
    <t/>
  </si>
  <si>
    <t/>
  </si>
  <si>
    <t/>
  </si>
  <si>
    <t>17000</t>
  </si>
  <si>
    <t>2523000000</t>
  </si>
  <si>
    <t>0.885</t>
  </si>
  <si>
    <t>0.0483</t>
  </si>
  <si>
    <t/>
  </si>
  <si>
    <t/>
  </si>
  <si>
    <t>5</t>
  </si>
  <si>
    <t>CZ+ind effects + ln(njc)</t>
  </si>
  <si>
    <t/>
  </si>
  <si>
    <t/>
  </si>
  <si>
    <t/>
  </si>
  <si>
    <t/>
  </si>
  <si>
    <t>0.0440***</t>
  </si>
  <si>
    <t>(0.00244)</t>
  </si>
  <si>
    <t/>
  </si>
  <si>
    <t>17000</t>
  </si>
  <si>
    <t>2523000000</t>
  </si>
  <si>
    <t>0.892</t>
  </si>
  <si>
    <t>0.0467</t>
  </si>
  <si>
    <t>Variance decompositions of fe_c</t>
  </si>
  <si>
    <t/>
  </si>
  <si>
    <t/>
  </si>
  <si>
    <t/>
  </si>
  <si>
    <t>SD(dependent variable)</t>
  </si>
  <si>
    <t>var(A) share</t>
  </si>
  <si>
    <t>var(B) share</t>
  </si>
  <si>
    <t>var(C) share</t>
  </si>
  <si>
    <t>var(D) share</t>
  </si>
  <si>
    <t>cov(A,B) share</t>
  </si>
  <si>
    <t>cov(A,C) share</t>
  </si>
  <si>
    <t>cov(A,D) share</t>
  </si>
  <si>
    <t>cov(B,C) share</t>
  </si>
  <si>
    <t>cov(B,D) share</t>
  </si>
  <si>
    <t>cov(C,D) share</t>
  </si>
  <si>
    <t>Number of Person-quarter observations</t>
  </si>
  <si>
    <t/>
  </si>
  <si>
    <t/>
  </si>
  <si>
    <t/>
  </si>
  <si>
    <t/>
  </si>
  <si>
    <t/>
  </si>
  <si>
    <t/>
  </si>
  <si>
    <t/>
  </si>
  <si>
    <t/>
  </si>
  <si>
    <t/>
  </si>
  <si>
    <t/>
  </si>
  <si>
    <t/>
  </si>
  <si>
    <t/>
  </si>
  <si>
    <t/>
  </si>
  <si>
    <t/>
  </si>
  <si>
    <t/>
  </si>
  <si>
    <t/>
  </si>
  <si>
    <t/>
  </si>
  <si>
    <t/>
  </si>
  <si>
    <t/>
  </si>
  <si>
    <t/>
  </si>
  <si>
    <t/>
  </si>
  <si>
    <t/>
  </si>
  <si>
    <t>Sample 8</t>
  </si>
  <si>
    <t>(2-digit industries)</t>
  </si>
  <si>
    <t>SD &amp; Var%</t>
  </si>
  <si>
    <t>.07934</t>
  </si>
  <si>
    <t/>
  </si>
  <si>
    <t>.9424</t>
  </si>
  <si>
    <t>.02522</t>
  </si>
  <si>
    <t>.02197</t>
  </si>
  <si>
    <t/>
  </si>
  <si>
    <t/>
  </si>
  <si>
    <t/>
  </si>
  <si>
    <t>.01521</t>
  </si>
  <si>
    <t>-.005893</t>
  </si>
  <si>
    <t>.001096</t>
  </si>
  <si>
    <t>2523000000</t>
  </si>
  <si>
    <t/>
  </si>
  <si>
    <t/>
  </si>
  <si>
    <t/>
  </si>
  <si>
    <t/>
  </si>
  <si>
    <t/>
  </si>
  <si>
    <t/>
  </si>
  <si>
    <t/>
  </si>
  <si>
    <t/>
  </si>
  <si>
    <t/>
  </si>
  <si>
    <t/>
  </si>
  <si>
    <t/>
  </si>
  <si>
    <t/>
  </si>
  <si>
    <t/>
  </si>
  <si>
    <t/>
  </si>
  <si>
    <t/>
  </si>
  <si>
    <t/>
  </si>
  <si>
    <t/>
  </si>
  <si>
    <t/>
  </si>
  <si>
    <t/>
  </si>
  <si>
    <t/>
  </si>
  <si>
    <t/>
  </si>
  <si>
    <t/>
  </si>
  <si>
    <t/>
  </si>
  <si>
    <t>(4-digit industries)</t>
  </si>
  <si>
    <t>SD &amp; Var%</t>
  </si>
  <si>
    <t>.07934</t>
  </si>
  <si>
    <t/>
  </si>
  <si>
    <t>.913</t>
  </si>
  <si>
    <t>.02578</t>
  </si>
  <si>
    <t>.04399</t>
  </si>
  <si>
    <t/>
  </si>
  <si>
    <t/>
  </si>
  <si>
    <t/>
  </si>
  <si>
    <t>.06354</t>
  </si>
  <si>
    <t>-.05435</t>
  </si>
  <si>
    <t>.008037</t>
  </si>
  <si>
    <t/>
  </si>
  <si>
    <t/>
  </si>
  <si>
    <t/>
  </si>
  <si>
    <t/>
  </si>
  <si>
    <t/>
  </si>
  <si>
    <t/>
  </si>
  <si>
    <t/>
  </si>
  <si>
    <t/>
  </si>
  <si>
    <t/>
  </si>
  <si>
    <t/>
  </si>
  <si>
    <t/>
  </si>
  <si>
    <t/>
  </si>
  <si>
    <t/>
  </si>
  <si>
    <t/>
  </si>
  <si>
    <t/>
  </si>
  <si>
    <t/>
  </si>
  <si>
    <t/>
  </si>
  <si>
    <t/>
  </si>
  <si>
    <t/>
  </si>
  <si>
    <t/>
  </si>
  <si>
    <t/>
  </si>
  <si>
    <t/>
  </si>
  <si>
    <t>Regressions y  pe  fe sdpe pedec1 pedec10 on earnings &amp; size &amp; education (CZ level)</t>
  </si>
  <si>
    <t/>
  </si>
  <si>
    <t/>
  </si>
  <si>
    <t/>
  </si>
  <si>
    <t/>
  </si>
  <si>
    <t>y_c</t>
  </si>
  <si>
    <t/>
  </si>
  <si>
    <t/>
  </si>
  <si>
    <t/>
  </si>
  <si>
    <t>lnN_c</t>
  </si>
  <si>
    <t/>
  </si>
  <si>
    <t/>
  </si>
  <si>
    <t>educ_c</t>
  </si>
  <si>
    <t/>
  </si>
  <si>
    <t/>
  </si>
  <si>
    <t/>
  </si>
  <si>
    <t/>
  </si>
  <si>
    <t>Number of unique workers</t>
  </si>
  <si>
    <t>Number of person-quarter observations</t>
  </si>
  <si>
    <t/>
  </si>
  <si>
    <t/>
  </si>
  <si>
    <t/>
  </si>
  <si>
    <t>y</t>
  </si>
  <si>
    <t/>
  </si>
  <si>
    <t/>
  </si>
  <si>
    <t/>
  </si>
  <si>
    <t/>
  </si>
  <si>
    <t/>
  </si>
  <si>
    <t>0.0753</t>
  </si>
  <si>
    <t>(0.00808)</t>
  </si>
  <si>
    <t/>
  </si>
  <si>
    <t>1.683</t>
  </si>
  <si>
    <t>(0.149)</t>
  </si>
  <si>
    <t/>
  </si>
  <si>
    <t/>
  </si>
  <si>
    <t/>
  </si>
  <si>
    <t>112100000</t>
  </si>
  <si>
    <t>2523000000</t>
  </si>
  <si>
    <t/>
  </si>
  <si>
    <t/>
  </si>
  <si>
    <t/>
  </si>
  <si>
    <t>pe</t>
  </si>
  <si>
    <t/>
  </si>
  <si>
    <t>0.499</t>
  </si>
  <si>
    <t>(0.0205)</t>
  </si>
  <si>
    <t/>
  </si>
  <si>
    <t/>
  </si>
  <si>
    <t>0.0397</t>
  </si>
  <si>
    <t>(0.00655)</t>
  </si>
  <si>
    <t/>
  </si>
  <si>
    <t>0.982</t>
  </si>
  <si>
    <t>(0.0689)</t>
  </si>
  <si>
    <t/>
  </si>
  <si>
    <t/>
  </si>
  <si>
    <t/>
  </si>
  <si>
    <t/>
  </si>
  <si>
    <t/>
  </si>
  <si>
    <t/>
  </si>
  <si>
    <t/>
  </si>
  <si>
    <t/>
  </si>
  <si>
    <t>fe</t>
  </si>
  <si>
    <t/>
  </si>
  <si>
    <t>0.489</t>
  </si>
  <si>
    <t>(0.0187)</t>
  </si>
  <si>
    <t/>
  </si>
  <si>
    <t/>
  </si>
  <si>
    <t>0.0340</t>
  </si>
  <si>
    <t>(0.00310)</t>
  </si>
  <si>
    <t/>
  </si>
  <si>
    <t>0.664</t>
  </si>
  <si>
    <t>(0.0988)</t>
  </si>
  <si>
    <t/>
  </si>
  <si>
    <t/>
  </si>
  <si>
    <t/>
  </si>
  <si>
    <t/>
  </si>
  <si>
    <t/>
  </si>
  <si>
    <t/>
  </si>
  <si>
    <t/>
  </si>
  <si>
    <t/>
  </si>
  <si>
    <t>sdpe</t>
  </si>
  <si>
    <t/>
  </si>
  <si>
    <t>0.240</t>
  </si>
  <si>
    <t>(0.0219)</t>
  </si>
  <si>
    <t/>
  </si>
  <si>
    <t/>
  </si>
  <si>
    <t>0.0250</t>
  </si>
  <si>
    <t>(0.00202)</t>
  </si>
  <si>
    <t/>
  </si>
  <si>
    <t>0.466</t>
  </si>
  <si>
    <t>(0.0467)</t>
  </si>
  <si>
    <t/>
  </si>
  <si>
    <t/>
  </si>
  <si>
    <t/>
  </si>
  <si>
    <t/>
  </si>
  <si>
    <t/>
  </si>
  <si>
    <t/>
  </si>
  <si>
    <t/>
  </si>
  <si>
    <t/>
  </si>
  <si>
    <t>pedec1</t>
  </si>
  <si>
    <t/>
  </si>
  <si>
    <t>-0.0871</t>
  </si>
  <si>
    <t>(0.0124)</t>
  </si>
  <si>
    <t/>
  </si>
  <si>
    <t/>
  </si>
  <si>
    <t>-0.00480</t>
  </si>
  <si>
    <t>(0.00253)</t>
  </si>
  <si>
    <t/>
  </si>
  <si>
    <t>-0.202</t>
  </si>
  <si>
    <t>(0.0206)</t>
  </si>
  <si>
    <t/>
  </si>
  <si>
    <t/>
  </si>
  <si>
    <t/>
  </si>
  <si>
    <t/>
  </si>
  <si>
    <t/>
  </si>
  <si>
    <t/>
  </si>
  <si>
    <t/>
  </si>
  <si>
    <t/>
  </si>
  <si>
    <t>pedec10</t>
  </si>
  <si>
    <t/>
  </si>
  <si>
    <t>0.213</t>
  </si>
  <si>
    <t>(0.00948)</t>
  </si>
  <si>
    <t/>
  </si>
  <si>
    <t/>
  </si>
  <si>
    <t>0.0185</t>
  </si>
  <si>
    <t>(0.00221)</t>
  </si>
  <si>
    <t/>
  </si>
  <si>
    <t>0.414</t>
  </si>
  <si>
    <t>(0.0335)</t>
  </si>
  <si>
    <t/>
  </si>
  <si>
    <t/>
  </si>
  <si>
    <t/>
  </si>
  <si>
    <t/>
  </si>
  <si>
    <t/>
  </si>
  <si>
    <t/>
  </si>
  <si>
    <t/>
  </si>
  <si>
    <t/>
  </si>
  <si>
    <t>phi_c_B</t>
  </si>
  <si>
    <t/>
  </si>
  <si>
    <t>0.475</t>
  </si>
  <si>
    <t>(0.0188)</t>
  </si>
  <si>
    <t/>
  </si>
  <si>
    <t/>
  </si>
  <si>
    <t>0.0370</t>
  </si>
  <si>
    <t>(0.00262)</t>
  </si>
  <si>
    <t/>
  </si>
  <si>
    <t>0.733</t>
  </si>
  <si>
    <t>(0.0894)</t>
  </si>
  <si>
    <t/>
  </si>
  <si>
    <t/>
  </si>
  <si>
    <t/>
  </si>
  <si>
    <t/>
  </si>
  <si>
    <t/>
  </si>
  <si>
    <t/>
  </si>
  <si>
    <t/>
  </si>
  <si>
    <t/>
  </si>
  <si>
    <t>phi_c_C</t>
  </si>
  <si>
    <t/>
  </si>
  <si>
    <t>0.0181</t>
  </si>
  <si>
    <t>(0.00641)</t>
  </si>
  <si>
    <t/>
  </si>
  <si>
    <t/>
  </si>
  <si>
    <t>0.0000369</t>
  </si>
  <si>
    <t>(0.000402)</t>
  </si>
  <si>
    <t/>
  </si>
  <si>
    <t>-0.00953</t>
  </si>
  <si>
    <t>(0.0125)</t>
  </si>
  <si>
    <t/>
  </si>
  <si>
    <t/>
  </si>
  <si>
    <t/>
  </si>
  <si>
    <t/>
  </si>
  <si>
    <t/>
  </si>
  <si>
    <t/>
  </si>
  <si>
    <t/>
  </si>
  <si>
    <t/>
  </si>
  <si>
    <t>phi_c_D</t>
  </si>
  <si>
    <t/>
  </si>
  <si>
    <t>-0.00445</t>
  </si>
  <si>
    <t>(0.00840)</t>
  </si>
  <si>
    <t/>
  </si>
  <si>
    <t/>
  </si>
  <si>
    <t>-0.00313</t>
  </si>
  <si>
    <t>(0.000832)</t>
  </si>
  <si>
    <t/>
  </si>
  <si>
    <t>-0.0594</t>
  </si>
  <si>
    <t>(0.0145)</t>
  </si>
  <si>
    <t/>
  </si>
  <si>
    <t/>
  </si>
  <si>
    <t/>
  </si>
  <si>
    <t/>
  </si>
  <si>
    <t/>
  </si>
  <si>
    <t/>
  </si>
  <si>
    <t/>
  </si>
  <si>
    <t/>
  </si>
  <si>
    <t>corr_pe_fe</t>
  </si>
  <si>
    <t/>
  </si>
  <si>
    <t>0.451</t>
  </si>
  <si>
    <t>(0.0251)</t>
  </si>
  <si>
    <t/>
  </si>
  <si>
    <t/>
  </si>
  <si>
    <t>0.0394</t>
  </si>
  <si>
    <t>(0.00354)</t>
  </si>
  <si>
    <t/>
  </si>
  <si>
    <t>0.850</t>
  </si>
  <si>
    <t>(0.0567)</t>
  </si>
  <si>
    <t/>
  </si>
  <si>
    <t/>
  </si>
  <si>
    <t/>
  </si>
  <si>
    <t/>
  </si>
  <si>
    <t/>
  </si>
  <si>
    <t/>
  </si>
  <si>
    <t/>
  </si>
  <si>
    <t/>
  </si>
  <si>
    <t/>
  </si>
  <si>
    <t/>
  </si>
  <si>
    <t/>
  </si>
  <si>
    <t/>
  </si>
  <si>
    <t/>
  </si>
  <si>
    <t/>
  </si>
  <si>
    <t/>
  </si>
  <si>
    <t/>
  </si>
  <si>
    <t/>
  </si>
  <si>
    <t/>
  </si>
  <si>
    <t/>
  </si>
  <si>
    <t/>
  </si>
  <si>
    <t/>
  </si>
  <si>
    <t/>
  </si>
  <si>
    <t/>
  </si>
  <si>
    <t/>
  </si>
  <si>
    <t>Regressions coefficients of psi_c on CZ effects from alternative specifications</t>
  </si>
  <si>
    <t>Note: all regressions weighted by Sample 8 cell sizes</t>
  </si>
  <si>
    <t/>
  </si>
  <si>
    <t/>
  </si>
  <si>
    <t/>
  </si>
  <si>
    <t/>
  </si>
  <si>
    <t/>
  </si>
  <si>
    <t/>
  </si>
  <si>
    <t>psi_c_baseline</t>
  </si>
  <si>
    <t/>
  </si>
  <si>
    <t/>
  </si>
  <si>
    <t>Number of person-quarter observations</t>
  </si>
  <si>
    <t>Number of  CZs</t>
  </si>
  <si>
    <t xml:space="preserve"> R2</t>
  </si>
  <si>
    <t>SD of Dependent Variable</t>
  </si>
  <si>
    <t/>
  </si>
  <si>
    <t>NOTE:</t>
  </si>
  <si>
    <t>For reference, each column uses Psi_c estimates from the following models (described in Memo output description in more detail)</t>
  </si>
  <si>
    <t>M1: pe and cz-ind effects</t>
  </si>
  <si>
    <t>M2: pe and cz effects</t>
  </si>
  <si>
    <t>M3: pe and firm effects,  baseline spec, young subgroup</t>
  </si>
  <si>
    <t>M4: pe and firm effects,  dynamic top10 spec, young subgroup</t>
  </si>
  <si>
    <t>M5: pe and firm effects, dynamic top25 spec, young subgroup</t>
  </si>
  <si>
    <t/>
  </si>
  <si>
    <t/>
  </si>
  <si>
    <t/>
  </si>
  <si>
    <t>Sample 8</t>
  </si>
  <si>
    <t/>
  </si>
  <si>
    <t>(1)</t>
  </si>
  <si>
    <t>M1</t>
  </si>
  <si>
    <t/>
  </si>
  <si>
    <t>0.794</t>
  </si>
  <si>
    <t>(0.0203)</t>
  </si>
  <si>
    <t/>
  </si>
  <si>
    <t>2523000000</t>
  </si>
  <si>
    <t>700</t>
  </si>
  <si>
    <t>0.945</t>
  </si>
  <si>
    <t>0.0648</t>
  </si>
  <si>
    <t/>
  </si>
  <si>
    <t/>
  </si>
  <si>
    <t/>
  </si>
  <si>
    <t/>
  </si>
  <si>
    <t/>
  </si>
  <si>
    <t/>
  </si>
  <si>
    <t/>
  </si>
  <si>
    <t/>
  </si>
  <si>
    <t/>
  </si>
  <si>
    <t/>
  </si>
  <si>
    <t/>
  </si>
  <si>
    <t/>
  </si>
  <si>
    <t/>
  </si>
  <si>
    <t>(2)</t>
  </si>
  <si>
    <t>M2</t>
  </si>
  <si>
    <t/>
  </si>
  <si>
    <t>0.771</t>
  </si>
  <si>
    <t>(0.0213)</t>
  </si>
  <si>
    <t/>
  </si>
  <si>
    <t/>
  </si>
  <si>
    <t/>
  </si>
  <si>
    <t>0.919</t>
  </si>
  <si>
    <t>0.0638</t>
  </si>
  <si>
    <t/>
  </si>
  <si>
    <t/>
  </si>
  <si>
    <t/>
  </si>
  <si>
    <t/>
  </si>
  <si>
    <t/>
  </si>
  <si>
    <t/>
  </si>
  <si>
    <t/>
  </si>
  <si>
    <t/>
  </si>
  <si>
    <t/>
  </si>
  <si>
    <t/>
  </si>
  <si>
    <t/>
  </si>
  <si>
    <t>Sample 8YOUNG</t>
  </si>
  <si>
    <t>young subgroup</t>
  </si>
  <si>
    <t>(3)</t>
  </si>
  <si>
    <t>M3</t>
  </si>
  <si>
    <t/>
  </si>
  <si>
    <t>0.956</t>
  </si>
  <si>
    <t>(0.0313)</t>
  </si>
  <si>
    <t/>
  </si>
  <si>
    <t/>
  </si>
  <si>
    <t/>
  </si>
  <si>
    <t>0.942</t>
  </si>
  <si>
    <t>0.0782</t>
  </si>
  <si>
    <t/>
  </si>
  <si>
    <t/>
  </si>
  <si>
    <t/>
  </si>
  <si>
    <t/>
  </si>
  <si>
    <t/>
  </si>
  <si>
    <t/>
  </si>
  <si>
    <t/>
  </si>
  <si>
    <t/>
  </si>
  <si>
    <t/>
  </si>
  <si>
    <t/>
  </si>
  <si>
    <t/>
  </si>
  <si>
    <t/>
  </si>
  <si>
    <t/>
  </si>
  <si>
    <t>(4)</t>
  </si>
  <si>
    <t>M4</t>
  </si>
  <si>
    <t/>
  </si>
  <si>
    <t>0.937</t>
  </si>
  <si>
    <t>(0.0310)</t>
  </si>
  <si>
    <t/>
  </si>
  <si>
    <t/>
  </si>
  <si>
    <t/>
  </si>
  <si>
    <t>0.940</t>
  </si>
  <si>
    <t>0.0767</t>
  </si>
  <si>
    <t/>
  </si>
  <si>
    <t/>
  </si>
  <si>
    <t/>
  </si>
  <si>
    <t/>
  </si>
  <si>
    <t/>
  </si>
  <si>
    <t/>
  </si>
  <si>
    <t/>
  </si>
  <si>
    <t/>
  </si>
  <si>
    <t/>
  </si>
  <si>
    <t/>
  </si>
  <si>
    <t/>
  </si>
  <si>
    <t/>
  </si>
  <si>
    <t/>
  </si>
  <si>
    <t>(5)</t>
  </si>
  <si>
    <t>M5</t>
  </si>
  <si>
    <t/>
  </si>
  <si>
    <t>0.950</t>
  </si>
  <si>
    <t>(0.0308)</t>
  </si>
  <si>
    <t/>
  </si>
  <si>
    <t/>
  </si>
  <si>
    <t/>
  </si>
  <si>
    <t>0.942</t>
  </si>
  <si>
    <t>0.0776</t>
  </si>
  <si>
    <t/>
  </si>
  <si>
    <t/>
  </si>
  <si>
    <t/>
  </si>
  <si>
    <t/>
  </si>
  <si>
    <t/>
  </si>
  <si>
    <t/>
  </si>
  <si>
    <t/>
  </si>
  <si>
    <t/>
  </si>
  <si>
    <t>Regressions of Education Gap components on CZ-level regressors (earnings, size, etc.) – Baseline AKM model</t>
  </si>
  <si>
    <t/>
  </si>
  <si>
    <t/>
  </si>
  <si>
    <t/>
  </si>
  <si>
    <t/>
  </si>
  <si>
    <t/>
  </si>
  <si>
    <t>mlogwage4</t>
  </si>
  <si>
    <t/>
  </si>
  <si>
    <t/>
  </si>
  <si>
    <t/>
  </si>
  <si>
    <t>logsize_c</t>
  </si>
  <si>
    <t/>
  </si>
  <si>
    <t/>
  </si>
  <si>
    <t>N</t>
  </si>
  <si>
    <t/>
  </si>
  <si>
    <t/>
  </si>
  <si>
    <t/>
  </si>
  <si>
    <t/>
  </si>
  <si>
    <t>Education gap</t>
  </si>
  <si>
    <t>dy</t>
  </si>
  <si>
    <t>0.628</t>
  </si>
  <si>
    <t>(0.0487)</t>
  </si>
  <si>
    <t/>
  </si>
  <si>
    <t>0.0599</t>
  </si>
  <si>
    <t>(0.00284)</t>
  </si>
  <si>
    <t/>
  </si>
  <si>
    <t/>
  </si>
  <si>
    <t>372800000</t>
  </si>
  <si>
    <t/>
  </si>
  <si>
    <t/>
  </si>
  <si>
    <t/>
  </si>
  <si>
    <t/>
  </si>
  <si>
    <t>Education gap components</t>
  </si>
  <si>
    <t>A</t>
  </si>
  <si>
    <t>0.0741</t>
  </si>
  <si>
    <t>(0.00941)</t>
  </si>
  <si>
    <t/>
  </si>
  <si>
    <t>0.00670</t>
  </si>
  <si>
    <t>(0.000441)</t>
  </si>
  <si>
    <t/>
  </si>
  <si>
    <t/>
  </si>
  <si>
    <t>372800000</t>
  </si>
  <si>
    <t/>
  </si>
  <si>
    <t/>
  </si>
  <si>
    <t/>
  </si>
  <si>
    <t/>
  </si>
  <si>
    <t/>
  </si>
  <si>
    <t>B</t>
  </si>
  <si>
    <t>0.398</t>
  </si>
  <si>
    <t>(0.0336)</t>
  </si>
  <si>
    <t/>
  </si>
  <si>
    <t>0.0409</t>
  </si>
  <si>
    <t>(0.00174)</t>
  </si>
  <si>
    <t/>
  </si>
  <si>
    <t/>
  </si>
  <si>
    <t>372800000</t>
  </si>
  <si>
    <t/>
  </si>
  <si>
    <t/>
  </si>
  <si>
    <t/>
  </si>
  <si>
    <t/>
  </si>
  <si>
    <t/>
  </si>
  <si>
    <t>C</t>
  </si>
  <si>
    <t>0.165</t>
  </si>
  <si>
    <t>(0.0114)</t>
  </si>
  <si>
    <t/>
  </si>
  <si>
    <t>0.0133</t>
  </si>
  <si>
    <t>(0.00104)</t>
  </si>
  <si>
    <t/>
  </si>
  <si>
    <t/>
  </si>
  <si>
    <t>372800000</t>
  </si>
  <si>
    <t/>
  </si>
  <si>
    <t/>
  </si>
  <si>
    <t/>
  </si>
  <si>
    <t/>
  </si>
  <si>
    <t/>
  </si>
  <si>
    <t>D</t>
  </si>
  <si>
    <t>-0.00637</t>
  </si>
  <si>
    <t>(0.00242)</t>
  </si>
  <si>
    <t/>
  </si>
  <si>
    <t>-0.000229</t>
  </si>
  <si>
    <t>(0.000115)</t>
  </si>
  <si>
    <t/>
  </si>
  <si>
    <t/>
  </si>
  <si>
    <t>372800000</t>
  </si>
  <si>
    <t/>
  </si>
  <si>
    <t/>
  </si>
  <si>
    <t/>
  </si>
  <si>
    <t/>
  </si>
  <si>
    <t/>
  </si>
  <si>
    <t>E</t>
  </si>
  <si>
    <t>-0.00332</t>
  </si>
  <si>
    <t>(0.00269)</t>
  </si>
  <si>
    <t/>
  </si>
  <si>
    <t>-0.000809</t>
  </si>
  <si>
    <t>(0.000434)</t>
  </si>
  <si>
    <t/>
  </si>
  <si>
    <t/>
  </si>
  <si>
    <t>372800000</t>
  </si>
  <si>
    <t/>
  </si>
  <si>
    <t/>
  </si>
  <si>
    <t/>
  </si>
  <si>
    <t/>
  </si>
  <si>
    <t/>
  </si>
  <si>
    <t>A+D</t>
  </si>
  <si>
    <t>.0677</t>
  </si>
  <si>
    <t>(0.00740)</t>
  </si>
  <si>
    <t/>
  </si>
  <si>
    <t>.00647</t>
  </si>
  <si>
    <t>(0.000427)</t>
  </si>
  <si>
    <t/>
  </si>
  <si>
    <t/>
  </si>
  <si>
    <t>372800000</t>
  </si>
  <si>
    <t>Variance decompositions of education gap dy</t>
  </si>
  <si>
    <t/>
  </si>
  <si>
    <t/>
  </si>
  <si>
    <t/>
  </si>
  <si>
    <t>dy_c (sd)</t>
  </si>
  <si>
    <t>var(A) var share=</t>
  </si>
  <si>
    <t>var(B) var share=</t>
  </si>
  <si>
    <t>var(C) var share=</t>
  </si>
  <si>
    <t>var(D) var share=</t>
  </si>
  <si>
    <t>var(E) var share=</t>
  </si>
  <si>
    <t>cov(A,B) var share=</t>
  </si>
  <si>
    <t>cov(A,C) var share=</t>
  </si>
  <si>
    <t>cov(A,D) var share=</t>
  </si>
  <si>
    <t>cov(A,E) var share=</t>
  </si>
  <si>
    <t>cov(B,C) var share=</t>
  </si>
  <si>
    <t>cov(B,D) var share=</t>
  </si>
  <si>
    <t>cov(B,E) var share=</t>
  </si>
  <si>
    <t>cov(C,D) var share=</t>
  </si>
  <si>
    <t>cov(C,E) var share=</t>
  </si>
  <si>
    <t>cov(D,E) var share=</t>
  </si>
  <si>
    <t>N=</t>
  </si>
  <si>
    <t/>
  </si>
  <si>
    <t/>
  </si>
  <si>
    <t/>
  </si>
  <si>
    <t/>
  </si>
  <si>
    <t/>
  </si>
  <si>
    <t/>
  </si>
  <si>
    <t>SD &amp; Var%</t>
  </si>
  <si>
    <t>.1067</t>
  </si>
  <si>
    <t>.01693</t>
  </si>
  <si>
    <t>.4851000000000001</t>
  </si>
  <si>
    <t>.0665</t>
  </si>
  <si>
    <t>.000382</t>
  </si>
  <si>
    <t>.002996</t>
  </si>
  <si>
    <t>.1422</t>
  </si>
  <si>
    <t>.05284</t>
  </si>
  <si>
    <t>-.002844</t>
  </si>
  <si>
    <t>-.003949</t>
  </si>
  <si>
    <t>.2820000000000001</t>
  </si>
  <si>
    <t>-.008479</t>
  </si>
  <si>
    <t>-.01916</t>
  </si>
  <si>
    <t>-.004737</t>
  </si>
  <si>
    <t>-.009809</t>
  </si>
  <si>
    <t>.000079</t>
  </si>
  <si>
    <t>372800000</t>
  </si>
  <si>
    <t/>
  </si>
  <si>
    <t/>
  </si>
  <si>
    <t/>
  </si>
  <si>
    <t/>
  </si>
  <si>
    <t/>
  </si>
  <si>
    <t/>
  </si>
  <si>
    <t/>
  </si>
  <si>
    <t/>
  </si>
  <si>
    <t>within industry gap</t>
  </si>
  <si>
    <t>person effect</t>
  </si>
  <si>
    <t>industry sorting</t>
  </si>
  <si>
    <t>interaction</t>
  </si>
  <si>
    <t>covriates</t>
  </si>
  <si>
    <t/>
  </si>
  <si>
    <t/>
  </si>
  <si>
    <t/>
  </si>
  <si>
    <t/>
  </si>
  <si>
    <t/>
  </si>
  <si>
    <t/>
  </si>
  <si>
    <t/>
  </si>
  <si>
    <t/>
  </si>
  <si>
    <t/>
  </si>
  <si>
    <t/>
  </si>
  <si>
    <t/>
  </si>
  <si>
    <t/>
  </si>
  <si>
    <t/>
  </si>
  <si>
    <t/>
  </si>
  <si>
    <t/>
  </si>
  <si>
    <t/>
  </si>
  <si>
    <t/>
  </si>
  <si>
    <t>old version (D3TAB13)</t>
  </si>
  <si>
    <t>dy_c (sd)</t>
  </si>
  <si>
    <t>var(A) var share=</t>
  </si>
  <si>
    <t>var(B) var share=</t>
  </si>
  <si>
    <t>var(C) var share=</t>
  </si>
  <si>
    <t>var(D) var share=</t>
  </si>
  <si>
    <t>var(E) var share=</t>
  </si>
  <si>
    <t>cov(A,B) var share=</t>
  </si>
  <si>
    <t>cov(A,C) var share=</t>
  </si>
  <si>
    <t>cov(A,D) var share=</t>
  </si>
  <si>
    <t>cov(A,E) var share=</t>
  </si>
  <si>
    <t>cov(B,C) var share=</t>
  </si>
  <si>
    <t>cov(B,D) var share=</t>
  </si>
  <si>
    <t>cov(B,E) var share=</t>
  </si>
  <si>
    <t>cov(C,D) var share=</t>
  </si>
  <si>
    <t>cov(C,E) var share=</t>
  </si>
  <si>
    <t>cov(D,E) var share=</t>
  </si>
  <si>
    <t/>
  </si>
  <si>
    <t/>
  </si>
  <si>
    <t/>
  </si>
  <si>
    <t/>
  </si>
  <si>
    <t/>
  </si>
  <si>
    <t/>
  </si>
  <si>
    <t/>
  </si>
  <si>
    <t/>
  </si>
  <si>
    <t>.1091</t>
  </si>
  <si>
    <t>.07498</t>
  </si>
  <si>
    <t>.7823</t>
  </si>
  <si>
    <t>.0214</t>
  </si>
  <si>
    <t>.001428</t>
  </si>
  <si>
    <t>.002003</t>
  </si>
  <si>
    <t>-.1093</t>
  </si>
  <si>
    <t>-.003683</t>
  </si>
  <si>
    <t>-.009818</t>
  </si>
  <si>
    <t>.01024</t>
  </si>
  <si>
    <t>.1953</t>
  </si>
  <si>
    <t>.0385</t>
  </si>
  <si>
    <t>-.01006</t>
  </si>
  <si>
    <t>.00515</t>
  </si>
  <si>
    <t>.001581</t>
  </si>
  <si>
    <t>-5.00000000000e-06</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</si>
  <si>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</si>
  <si>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</si>
  <si>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</si>
  <si>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</si>
  <si>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</si>
  <si>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</si>
  <si>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</si>
  <si>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</si>
  <si>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</si>
  <si>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</si>
  <si>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</si>
  <si>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</si>
  <si>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</si>
  <si>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</si>
  <si>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</si>
  <si>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</si>
  <si>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</si>
  <si>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</si>
  <si>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</si>
  <si>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</si>
  <si>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</si>
  <si>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</si>
  <si>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</si>
  <si>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</si>
  <si>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</si>
  <si>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</si>
  <si>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</si>
  <si>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</si>
  <si>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</si>
  <si>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</si>
  <si>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</si>
  <si>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</si>
  <si>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</si>
  <si>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</si>
  <si>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</si>
  <si>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</si>
  <si>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</si>
  <si>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</si>
  <si>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</si>
  <si>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</si>
  <si>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</si>
  <si>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</si>
  <si>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</si>
  <si>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</si>
  <si>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</si>
  <si>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</si>
  <si>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</si>
  <si>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</si>
  <si>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</si>
  <si>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</si>
  <si>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</si>
  <si>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</si>
  <si>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</si>
  <si>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</si>
  <si>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</si>
  <si>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backing out var of CZ effect (A+C+D)</t>
  </si>
  <si>
    <t>dy_c (sd)</t>
  </si>
  <si>
    <t>var(A) var share=</t>
  </si>
  <si>
    <t>var(B) var share=</t>
  </si>
  <si>
    <t>var(C) var share=</t>
  </si>
  <si>
    <t>var(D) var share=</t>
  </si>
  <si>
    <t>var(E) var share=</t>
  </si>
  <si>
    <t>cov(A,B) var share=</t>
  </si>
  <si>
    <t>cov(A,C) var share=</t>
  </si>
  <si>
    <t>cov(A,D) var share=</t>
  </si>
  <si>
    <t>cov(A,E) var share=</t>
  </si>
  <si>
    <t>cov(B,C) var share=</t>
  </si>
  <si>
    <t>cov(B,D) var share=</t>
  </si>
  <si>
    <t>cov(B,E) var share=</t>
  </si>
  <si>
    <t>cov(C,D) var share=</t>
  </si>
  <si>
    <t>cov(C,E) var share=</t>
  </si>
  <si>
    <t>cov(D,E) var share=</t>
  </si>
  <si>
    <t/>
  </si>
  <si>
    <t/>
  </si>
  <si>
    <t/>
  </si>
  <si>
    <t/>
  </si>
  <si>
    <t/>
  </si>
  <si>
    <t/>
  </si>
  <si>
    <t/>
  </si>
  <si>
    <t/>
  </si>
  <si>
    <t>.1067</t>
  </si>
  <si>
    <t>.01693</t>
  </si>
  <si>
    <t>.4851000000000001</t>
  </si>
  <si>
    <t>.0665</t>
  </si>
  <si>
    <t>.000382</t>
  </si>
  <si>
    <t>.002996</t>
  </si>
  <si>
    <t>.1422</t>
  </si>
  <si>
    <t>.05284</t>
  </si>
  <si>
    <t>-.002844</t>
  </si>
  <si>
    <t>-.003949</t>
  </si>
  <si>
    <t>.2820000000000001</t>
  </si>
  <si>
    <t>-.008479</t>
  </si>
  <si>
    <t>-.01916</t>
  </si>
  <si>
    <t>-.004737</t>
  </si>
  <si>
    <t>-.009809</t>
  </si>
  <si>
    <t>.000079</t>
  </si>
  <si>
    <t/>
  </si>
  <si>
    <t/>
  </si>
  <si>
    <t/>
  </si>
  <si>
    <t/>
  </si>
  <si>
    <t/>
  </si>
  <si>
    <t/>
  </si>
  <si>
    <t/>
  </si>
  <si>
    <t/>
  </si>
  <si>
    <t>.01138489</t>
  </si>
  <si>
    <t>.0001927461877</t>
  </si>
  <si>
    <t>.005522810139</t>
  </si>
  <si>
    <t>.000757095185</t>
  </si>
  <si>
    <t>4.34902798000e-06</t>
  </si>
  <si>
    <t>.00003410913044</t>
  </si>
  <si>
    <t>.001618931358</t>
  </si>
  <si>
    <t>.0006015775876</t>
  </si>
  <si>
    <t>-.00003237862716</t>
  </si>
  <si>
    <t>-.00004495893061</t>
  </si>
  <si>
    <t>.00321053898</t>
  </si>
  <si>
    <t>-.00009653248231</t>
  </si>
  <si>
    <t>-.0002181344924</t>
  </si>
  <si>
    <t>-.00005393022393</t>
  </si>
  <si>
    <t>-.00011167438601</t>
  </si>
  <si>
    <t>8.99406310000e-07</t>
  </si>
  <si>
    <t/>
  </si>
  <si>
    <t/>
  </si>
  <si>
    <t/>
  </si>
  <si>
    <t/>
  </si>
  <si>
    <t/>
  </si>
  <si>
    <t/>
  </si>
  <si>
    <t/>
  </si>
  <si>
    <t/>
  </si>
  <si>
    <t/>
  </si>
  <si>
    <t/>
  </si>
  <si>
    <t/>
  </si>
  <si>
    <t/>
  </si>
  <si>
    <t/>
  </si>
  <si>
    <t/>
  </si>
  <si>
    <t/>
  </si>
  <si>
    <t/>
  </si>
  <si>
    <t/>
  </si>
  <si>
    <t/>
  </si>
  <si>
    <t/>
  </si>
  <si>
    <t/>
  </si>
  <si>
    <t/>
  </si>
  <si>
    <t/>
  </si>
  <si>
    <t/>
  </si>
  <si>
    <t/>
  </si>
  <si>
    <t/>
  </si>
  <si>
    <t/>
  </si>
  <si>
    <t/>
  </si>
  <si>
    <t/>
  </si>
  <si>
    <t/>
  </si>
  <si>
    <t/>
  </si>
  <si>
    <t/>
  </si>
  <si>
    <t/>
  </si>
  <si>
    <t>var(dy_c)</t>
  </si>
  <si>
    <t>var(A+C+D)</t>
  </si>
  <si>
    <t>var(B)</t>
  </si>
  <si>
    <t/>
  </si>
  <si>
    <t/>
  </si>
  <si>
    <t>var(E)</t>
  </si>
  <si>
    <t/>
  </si>
  <si>
    <t/>
  </si>
  <si>
    <t>2cov(ACD,B)</t>
  </si>
  <si>
    <t/>
  </si>
  <si>
    <t>2cov(ACD,E)</t>
  </si>
  <si>
    <t/>
  </si>
  <si>
    <t>2cov(B,E)</t>
  </si>
  <si>
    <t/>
  </si>
  <si>
    <t/>
  </si>
  <si>
    <t/>
  </si>
  <si>
    <t/>
  </si>
  <si>
    <t/>
  </si>
  <si>
    <t/>
  </si>
  <si>
    <t/>
  </si>
  <si>
    <t/>
  </si>
  <si>
    <t/>
  </si>
  <si>
    <t/>
  </si>
  <si>
    <t/>
  </si>
  <si>
    <t>.01138489</t>
  </si>
  <si>
    <t>.00146945913719</t>
  </si>
  <si>
    <t>.005522810139</t>
  </si>
  <si>
    <t/>
  </si>
  <si>
    <t/>
  </si>
  <si>
    <t>.00003410913044</t>
  </si>
  <si>
    <t/>
  </si>
  <si>
    <t/>
  </si>
  <si>
    <t>.00473293785569</t>
  </si>
  <si>
    <t/>
  </si>
  <si>
    <t>-.00015573391031</t>
  </si>
  <si>
    <t/>
  </si>
  <si>
    <t>-.0002181344924</t>
  </si>
  <si>
    <t/>
  </si>
  <si>
    <t>5.57859610003e-07</t>
  </si>
  <si>
    <t/>
  </si>
  <si>
    <t/>
  </si>
  <si>
    <t/>
  </si>
  <si>
    <t/>
  </si>
  <si>
    <t/>
  </si>
  <si>
    <t/>
  </si>
  <si>
    <t/>
  </si>
  <si>
    <t/>
  </si>
  <si>
    <t>var share</t>
  </si>
  <si>
    <t/>
  </si>
  <si>
    <t>.1290710000000001</t>
  </si>
  <si>
    <t>.4851000000000001</t>
  </si>
  <si>
    <t/>
  </si>
  <si>
    <t/>
  </si>
  <si>
    <t>.002996</t>
  </si>
  <si>
    <t/>
  </si>
  <si>
    <t/>
  </si>
  <si>
    <t>.4157210000000002</t>
  </si>
  <si>
    <t/>
  </si>
  <si>
    <t>-.013679</t>
  </si>
  <si>
    <t/>
  </si>
  <si>
    <t>-.01916</t>
  </si>
  <si>
    <t/>
  </si>
  <si>
    <t/>
  </si>
  <si>
    <t/>
  </si>
  <si>
    <t/>
  </si>
  <si>
    <t/>
  </si>
  <si>
    <t/>
  </si>
  <si>
    <t/>
  </si>
  <si>
    <t/>
  </si>
  <si>
    <t/>
  </si>
  <si>
    <t/>
  </si>
  <si>
    <t>sd</t>
  </si>
  <si>
    <t/>
  </si>
  <si>
    <t>.0383335249773615</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</si>
  <si>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</si>
  <si>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</si>
  <si>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</si>
  <si>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</si>
  <si>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</si>
  <si>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</si>
  <si>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</si>
  <si>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</si>
  <si>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</si>
  <si>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</si>
  <si>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</si>
  <si>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</si>
  <si>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</si>
  <si>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</si>
  <si>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</si>
  <si>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</si>
  <si>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</si>
  <si>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</si>
  <si>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</si>
  <si>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</si>
  <si>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</si>
  <si>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</si>
  <si>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</si>
  <si>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</si>
  <si>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</si>
  <si>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</si>
  <si>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</si>
  <si>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</si>
  <si>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</si>
  <si>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</si>
  <si>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</si>
  <si>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</si>
  <si>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</si>
  <si>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</si>
  <si>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</si>
  <si>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</si>
  <si>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</si>
  <si>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</si>
  <si>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</si>
  <si>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</si>
  <si>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</si>
  <si>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</si>
  <si>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Regressions y  pe  fe sdpe pedec1 pedec10 on earnings &amp; size &amp; education (CZ)</t>
  </si>
  <si>
    <t/>
  </si>
  <si>
    <t/>
  </si>
  <si>
    <t/>
  </si>
  <si>
    <t/>
  </si>
  <si>
    <t/>
  </si>
  <si>
    <t>logsize_c</t>
  </si>
  <si>
    <t/>
  </si>
  <si>
    <t/>
  </si>
  <si>
    <t/>
  </si>
  <si>
    <t>Number of person-quarter observations</t>
  </si>
  <si>
    <t/>
  </si>
  <si>
    <t/>
  </si>
  <si>
    <t/>
  </si>
  <si>
    <t>Educ L sample</t>
  </si>
  <si>
    <t>y</t>
  </si>
  <si>
    <t/>
  </si>
  <si>
    <t>0.0389</t>
  </si>
  <si>
    <t>(0.00555)</t>
  </si>
  <si>
    <t/>
  </si>
  <si>
    <t/>
  </si>
  <si>
    <t>110400000</t>
  </si>
  <si>
    <t/>
  </si>
  <si>
    <t/>
  </si>
  <si>
    <t/>
  </si>
  <si>
    <t/>
  </si>
  <si>
    <t>pe</t>
  </si>
  <si>
    <t/>
  </si>
  <si>
    <t>0.0169</t>
  </si>
  <si>
    <t>(0.00541)</t>
  </si>
  <si>
    <t/>
  </si>
  <si>
    <t/>
  </si>
  <si>
    <t/>
  </si>
  <si>
    <t/>
  </si>
  <si>
    <t/>
  </si>
  <si>
    <t/>
  </si>
  <si>
    <t/>
  </si>
  <si>
    <t>fe</t>
  </si>
  <si>
    <t/>
  </si>
  <si>
    <t>0.0199</t>
  </si>
  <si>
    <t>(0.00206)</t>
  </si>
  <si>
    <t/>
  </si>
  <si>
    <t/>
  </si>
  <si>
    <t/>
  </si>
  <si>
    <t/>
  </si>
  <si>
    <t/>
  </si>
  <si>
    <t/>
  </si>
  <si>
    <t>Educ H sample</t>
  </si>
  <si>
    <t>y</t>
  </si>
  <si>
    <t/>
  </si>
  <si>
    <t>0.102</t>
  </si>
  <si>
    <t>(0.00826)</t>
  </si>
  <si>
    <t/>
  </si>
  <si>
    <t/>
  </si>
  <si>
    <t>262400000</t>
  </si>
  <si>
    <t/>
  </si>
  <si>
    <t/>
  </si>
  <si>
    <t/>
  </si>
  <si>
    <t/>
  </si>
  <si>
    <t>pe</t>
  </si>
  <si>
    <t/>
  </si>
  <si>
    <t>0.0578</t>
  </si>
  <si>
    <t>(0.00647)</t>
  </si>
  <si>
    <t/>
  </si>
  <si>
    <t/>
  </si>
  <si>
    <t/>
  </si>
  <si>
    <t/>
  </si>
  <si>
    <t/>
  </si>
  <si>
    <t/>
  </si>
  <si>
    <t/>
  </si>
  <si>
    <t>fe</t>
  </si>
  <si>
    <t/>
  </si>
  <si>
    <t>0.0425</t>
  </si>
  <si>
    <t>(0.00324)</t>
  </si>
  <si>
    <t/>
  </si>
  <si>
    <t/>
  </si>
  <si>
    <t/>
  </si>
  <si>
    <t>Results from AKM model (SDs, correlations and variance decomposition)</t>
  </si>
  <si>
    <t/>
  </si>
  <si>
    <t>Sample</t>
  </si>
  <si>
    <t/>
  </si>
  <si>
    <t/>
  </si>
  <si>
    <t>y (sd)</t>
  </si>
  <si>
    <t>pe - variance share</t>
  </si>
  <si>
    <t>fe  - variance share</t>
  </si>
  <si>
    <t>xb  - variance share</t>
  </si>
  <si>
    <t>r  - variance share</t>
  </si>
  <si>
    <t>cov(pe,fe)  - variance share</t>
  </si>
  <si>
    <t>cov(pe,xb)   - variance share</t>
  </si>
  <si>
    <t>cov(pe,r)  - variance share</t>
  </si>
  <si>
    <t>cov(fe,xb)  - variance share</t>
  </si>
  <si>
    <t>cov(fe,r)  - variance share</t>
  </si>
  <si>
    <t>cov(xb,r)  - variance share</t>
  </si>
  <si>
    <t>N=</t>
  </si>
  <si>
    <t/>
  </si>
  <si>
    <t/>
  </si>
  <si>
    <t>Education - Low education only (4VEDUC-L)</t>
  </si>
  <si>
    <t>Individual-level</t>
  </si>
  <si>
    <t>SD &amp; Var%</t>
  </si>
  <si>
    <t>.5137000000000002</t>
  </si>
  <si>
    <t>.6347000000000002</t>
  </si>
  <si>
    <t>.1697</t>
  </si>
  <si>
    <t>.0612</t>
  </si>
  <si>
    <t>.1399000000000001</t>
  </si>
  <si>
    <t>.07334</t>
  </si>
  <si>
    <t>-.06962</t>
  </si>
  <si>
    <t>7.00000000000e-06</t>
  </si>
  <si>
    <t>-.003546</t>
  </si>
  <si>
    <t>.000022</t>
  </si>
  <si>
    <t>-.00568</t>
  </si>
  <si>
    <t>110400000</t>
  </si>
  <si>
    <t/>
  </si>
  <si>
    <t/>
  </si>
  <si>
    <t/>
  </si>
  <si>
    <t>CZ-level</t>
  </si>
  <si>
    <t>SD &amp; Var%</t>
  </si>
  <si>
    <t>.0973</t>
  </si>
  <si>
    <t>.3231000000000001</t>
  </si>
  <si>
    <t>.3684000000000001</t>
  </si>
  <si>
    <t>.005628</t>
  </si>
  <si>
    <t>.000031</t>
  </si>
  <si>
    <t>.2986000000000001</t>
  </si>
  <si>
    <t>-.02107</t>
  </si>
  <si>
    <t>.002751</t>
  </si>
  <si>
    <t>.02058</t>
  </si>
  <si>
    <t>.002081</t>
  </si>
  <si>
    <t>-.000183</t>
  </si>
  <si>
    <t>110400000</t>
  </si>
  <si>
    <t/>
  </si>
  <si>
    <t/>
  </si>
  <si>
    <t>Education - High education only (4VEDUC-H)</t>
  </si>
  <si>
    <t>Individual-level</t>
  </si>
  <si>
    <t>SD &amp; Var%</t>
  </si>
  <si>
    <t>.6784000000000002</t>
  </si>
  <si>
    <t>.6780000000000003</t>
  </si>
  <si>
    <t>.1078</t>
  </si>
  <si>
    <t>.03669</t>
  </si>
  <si>
    <t>.1297</t>
  </si>
  <si>
    <t>.09005</t>
  </si>
  <si>
    <t>-.04389</t>
  </si>
  <si>
    <t>7.00000000000e-06</t>
  </si>
  <si>
    <t>.001942</t>
  </si>
  <si>
    <t>.00037</t>
  </si>
  <si>
    <t>-.000593</t>
  </si>
  <si>
    <t>262400000</t>
  </si>
  <si>
    <t/>
  </si>
  <si>
    <t/>
  </si>
  <si>
    <t/>
  </si>
  <si>
    <t>CZ-level</t>
  </si>
  <si>
    <t>SD &amp; Var%</t>
  </si>
  <si>
    <t>.1783000000000001</t>
  </si>
  <si>
    <t>.3219000000000001</t>
  </si>
  <si>
    <t>.2408000000000001</t>
  </si>
  <si>
    <t>.000867</t>
  </si>
  <si>
    <t>6.00000000000e-06</t>
  </si>
  <si>
    <t>.4193000000000001</t>
  </si>
  <si>
    <t>.01061</t>
  </si>
  <si>
    <t>-.00037</t>
  </si>
  <si>
    <t>.007382</t>
  </si>
  <si>
    <t>-.000453</t>
  </si>
  <si>
    <t>-.000013</t>
  </si>
  <si>
    <t>262400000</t>
  </si>
  <si>
    <t xml:space="preserve">Main decomposition - Movers vs. Stayers (Sample 8) - using new establishment level AKM estimates </t>
  </si>
  <si>
    <t/>
  </si>
  <si>
    <t/>
  </si>
  <si>
    <t/>
  </si>
  <si>
    <t/>
  </si>
  <si>
    <t/>
  </si>
  <si>
    <t>y (sd)</t>
  </si>
  <si>
    <t>pe - variance share</t>
  </si>
  <si>
    <t>fe  - variance share</t>
  </si>
  <si>
    <t>xb  - variance share</t>
  </si>
  <si>
    <t>r  - variance share</t>
  </si>
  <si>
    <t>cov(pe,fe)  - variance share</t>
  </si>
  <si>
    <t>cov(pe,xb)   - variance share</t>
  </si>
  <si>
    <t>cov(pe,r)  - variance share</t>
  </si>
  <si>
    <t>cov(fe,xb)  - variance share</t>
  </si>
  <si>
    <t>cov(fe,r)  - variance share</t>
  </si>
  <si>
    <t>cov(xb,r)  - variance share</t>
  </si>
  <si>
    <t>Number of Person-quarter observations</t>
  </si>
  <si>
    <t/>
  </si>
  <si>
    <t/>
  </si>
  <si>
    <t/>
  </si>
  <si>
    <t/>
  </si>
  <si>
    <t/>
  </si>
  <si>
    <t/>
  </si>
  <si>
    <t/>
  </si>
  <si>
    <t>y (sd)</t>
  </si>
  <si>
    <t>pe - variance share</t>
  </si>
  <si>
    <t>fe  - variance share</t>
  </si>
  <si>
    <t>xb  - variance share</t>
  </si>
  <si>
    <t>r  - variance share</t>
  </si>
  <si>
    <t>cov(pe,fe)  - variance share</t>
  </si>
  <si>
    <t>cov(pe,xb)   - variance share</t>
  </si>
  <si>
    <t>cov(pe,r)  - variance share</t>
  </si>
  <si>
    <t>cov(fe,xb)  - variance share</t>
  </si>
  <si>
    <t>cov(fe,r)  - variance share</t>
  </si>
  <si>
    <t>cov(xb,r)  - variance share</t>
  </si>
  <si>
    <t>Number of Person-quarter observations</t>
  </si>
  <si>
    <t/>
  </si>
  <si>
    <t/>
  </si>
  <si>
    <t>Sample 8 - Movers only</t>
  </si>
  <si>
    <t>Person-quarter</t>
  </si>
  <si>
    <t/>
  </si>
  <si>
    <t>SD &amp; Var%</t>
  </si>
  <si>
    <t>.6713000000000002</t>
  </si>
  <si>
    <t>.5807000000000002</t>
  </si>
  <si>
    <t>.1162</t>
  </si>
  <si>
    <t>.04049</t>
  </si>
  <si>
    <t>.1424000000000001</t>
  </si>
  <si>
    <t>.1302</t>
  </si>
  <si>
    <t>-.01689</t>
  </si>
  <si>
    <t/>
  </si>
  <si>
    <t>.004458</t>
  </si>
  <si>
    <t>.000706</t>
  </si>
  <si>
    <t>.00175</t>
  </si>
  <si>
    <t>687200000</t>
  </si>
  <si>
    <t/>
  </si>
  <si>
    <t/>
  </si>
  <si>
    <t/>
  </si>
  <si>
    <t>Sample 8 - Stayers only</t>
  </si>
  <si>
    <t>Person-quarter</t>
  </si>
  <si>
    <t/>
  </si>
  <si>
    <t>SD &amp; Var%</t>
  </si>
  <si>
    <t>.6455000000000002</t>
  </si>
  <si>
    <t>.6696000000000002</t>
  </si>
  <si>
    <t>.1165</t>
  </si>
  <si>
    <t>.04321</t>
  </si>
  <si>
    <t>.12</t>
  </si>
  <si>
    <t>.08861</t>
  </si>
  <si>
    <t>-.03895</t>
  </si>
  <si>
    <t/>
  </si>
  <si>
    <t>.001734</t>
  </si>
  <si>
    <t>-.000286</t>
  </si>
  <si>
    <t>-.000448</t>
  </si>
  <si>
    <t>1835000000</t>
  </si>
  <si>
    <t/>
  </si>
  <si>
    <t/>
  </si>
  <si>
    <t/>
  </si>
  <si>
    <t>CZ</t>
  </si>
  <si>
    <t/>
  </si>
  <si>
    <t>SD &amp; Var%</t>
  </si>
  <si>
    <t>.1709000000000001</t>
  </si>
  <si>
    <t>.3259000000000001</t>
  </si>
  <si>
    <t>.2686000000000001</t>
  </si>
  <si>
    <t>.001866</t>
  </si>
  <si>
    <t/>
  </si>
  <si>
    <t>.3965000000000001</t>
  </si>
  <si>
    <t>.004942</t>
  </si>
  <si>
    <t/>
  </si>
  <si>
    <t>.002215</t>
  </si>
  <si>
    <t/>
  </si>
  <si>
    <t/>
  </si>
  <si>
    <t/>
  </si>
  <si>
    <t/>
  </si>
  <si>
    <t/>
  </si>
  <si>
    <t/>
  </si>
  <si>
    <t/>
  </si>
  <si>
    <t>CZ</t>
  </si>
  <si>
    <t/>
  </si>
  <si>
    <t>SD &amp; Var%</t>
  </si>
  <si>
    <t>.14</t>
  </si>
  <si>
    <t>.2916000000000001</t>
  </si>
  <si>
    <t>.3044000000000001</t>
  </si>
  <si>
    <t>.001793</t>
  </si>
  <si>
    <t/>
  </si>
  <si>
    <t>.3679000000000001</t>
  </si>
  <si>
    <t>.0154</t>
  </si>
  <si>
    <t/>
  </si>
  <si>
    <t>.01899</t>
  </si>
  <si>
    <t/>
  </si>
  <si>
    <t/>
  </si>
  <si>
    <t/>
  </si>
  <si>
    <t xml:space="preserve">Main decomposition - No-Uncertainty vs. Uncertainty subgroups (Sample 8) - using new establishment level AKM estimates </t>
  </si>
  <si>
    <t/>
  </si>
  <si>
    <t>Sample 8 - No-Uncertainty subgroup</t>
  </si>
  <si>
    <t/>
  </si>
  <si>
    <t/>
  </si>
  <si>
    <t/>
  </si>
  <si>
    <t>y (sd)</t>
  </si>
  <si>
    <t>pe - variance share</t>
  </si>
  <si>
    <t>fe  - variance share</t>
  </si>
  <si>
    <t>xb  - variance share</t>
  </si>
  <si>
    <t>r  - variance share</t>
  </si>
  <si>
    <t>cov(pe,fe)  - variance share</t>
  </si>
  <si>
    <t>cov(pe,xb)   - variance share</t>
  </si>
  <si>
    <t>cov(pe,r)  - variance share</t>
  </si>
  <si>
    <t>cov(fe,xb)  - variance share</t>
  </si>
  <si>
    <t>cov(fe,r)  - variance share</t>
  </si>
  <si>
    <t>cov(xb,r)  - variance share</t>
  </si>
  <si>
    <t>Number of Person-quarter observations</t>
  </si>
  <si>
    <t/>
  </si>
  <si>
    <t/>
  </si>
  <si>
    <t/>
  </si>
  <si>
    <t>Sample 8 - Uncertainty subgroup</t>
  </si>
  <si>
    <t/>
  </si>
  <si>
    <t/>
  </si>
  <si>
    <t/>
  </si>
  <si>
    <t>y (sd)</t>
  </si>
  <si>
    <t>pe - variance share</t>
  </si>
  <si>
    <t>fe  - variance share</t>
  </si>
  <si>
    <t>xb  - variance share</t>
  </si>
  <si>
    <t>r  - variance share</t>
  </si>
  <si>
    <t>cov(pe,fe)  - variance share</t>
  </si>
  <si>
    <t>cov(pe,xb)   - variance share</t>
  </si>
  <si>
    <t>cov(pe,r)  - variance share</t>
  </si>
  <si>
    <t>cov(fe,xb)  - variance share</t>
  </si>
  <si>
    <t>cov(fe,r)  - variance share</t>
  </si>
  <si>
    <t>cov(xb,r)  - variance share</t>
  </si>
  <si>
    <t>Number of Person-quarter observations</t>
  </si>
  <si>
    <t/>
  </si>
  <si>
    <t/>
  </si>
  <si>
    <t/>
  </si>
  <si>
    <t>Person-quarter</t>
  </si>
  <si>
    <t/>
  </si>
  <si>
    <t>SD &amp; Var%</t>
  </si>
  <si>
    <t>.6533000000000002</t>
  </si>
  <si>
    <t>.6467000000000002</t>
  </si>
  <si>
    <t>.1208</t>
  </si>
  <si>
    <t>.04237</t>
  </si>
  <si>
    <t>.1298000000000001</t>
  </si>
  <si>
    <t>.09238</t>
  </si>
  <si>
    <t>-.03402</t>
  </si>
  <si>
    <t>-.001441</t>
  </si>
  <si>
    <t>.002828</t>
  </si>
  <si>
    <t>.000088</t>
  </si>
  <si>
    <t>.00045</t>
  </si>
  <si>
    <t>1901000000</t>
  </si>
  <si>
    <t/>
  </si>
  <si>
    <t/>
  </si>
  <si>
    <t/>
  </si>
  <si>
    <t/>
  </si>
  <si>
    <t>Person-quarter</t>
  </si>
  <si>
    <t/>
  </si>
  <si>
    <t>SD &amp; Var%</t>
  </si>
  <si>
    <t>.6506000000000002</t>
  </si>
  <si>
    <t>.6352000000000002</t>
  </si>
  <si>
    <t>.1027</t>
  </si>
  <si>
    <t>.04327</t>
  </si>
  <si>
    <t>.1163</t>
  </si>
  <si>
    <t>.1264</t>
  </si>
  <si>
    <t>-.03047</t>
  </si>
  <si>
    <t>.004339</t>
  </si>
  <si>
    <t>.00319</t>
  </si>
  <si>
    <t>-.000206</t>
  </si>
  <si>
    <t>-.000633</t>
  </si>
  <si>
    <t>621800000</t>
  </si>
  <si>
    <t/>
  </si>
  <si>
    <t/>
  </si>
  <si>
    <t/>
  </si>
  <si>
    <t>CZ</t>
  </si>
  <si>
    <t/>
  </si>
  <si>
    <t>SD &amp; Var%</t>
  </si>
  <si>
    <t>.1447000000000001</t>
  </si>
  <si>
    <t>.3104000000000001</t>
  </si>
  <si>
    <t>.2829000000000001</t>
  </si>
  <si>
    <t>.001745</t>
  </si>
  <si>
    <t>1.00000000000e-06</t>
  </si>
  <si>
    <t>.3813000000000001</t>
  </si>
  <si>
    <t>.01205</t>
  </si>
  <si>
    <t>.000504</t>
  </si>
  <si>
    <t>.01062</t>
  </si>
  <si>
    <t>.000473</t>
  </si>
  <si>
    <t>.000021</t>
  </si>
  <si>
    <t/>
  </si>
  <si>
    <t/>
  </si>
  <si>
    <t/>
  </si>
  <si>
    <t/>
  </si>
  <si>
    <t/>
  </si>
  <si>
    <t>CZ</t>
  </si>
  <si>
    <t/>
  </si>
  <si>
    <t>SD &amp; Var%</t>
  </si>
  <si>
    <t>.1638000000000001</t>
  </si>
  <si>
    <t>.2819000000000001</t>
  </si>
  <si>
    <t>.3203000000000001</t>
  </si>
  <si>
    <t>.001202</t>
  </si>
  <si>
    <t>.000011</t>
  </si>
  <si>
    <t>.3876000000000001</t>
  </si>
  <si>
    <t>.003586</t>
  </si>
  <si>
    <t>-.001449</t>
  </si>
  <si>
    <t>.008087</t>
  </si>
  <si>
    <t>-.001231</t>
  </si>
  <si>
    <t>-.000023</t>
  </si>
  <si>
    <t/>
  </si>
  <si>
    <t>Group level means of earnings and akm components - unweighted</t>
  </si>
  <si>
    <t/>
  </si>
  <si>
    <t/>
  </si>
  <si>
    <t/>
  </si>
  <si>
    <t/>
  </si>
  <si>
    <t/>
  </si>
  <si>
    <t>y_c</t>
  </si>
  <si>
    <t/>
  </si>
  <si>
    <t/>
  </si>
  <si>
    <t>pe_c</t>
  </si>
  <si>
    <t/>
  </si>
  <si>
    <t/>
  </si>
  <si>
    <t>phi_c</t>
  </si>
  <si>
    <t/>
  </si>
  <si>
    <t/>
  </si>
  <si>
    <t>xb_c</t>
  </si>
  <si>
    <t/>
  </si>
  <si>
    <t/>
  </si>
  <si>
    <t>Number of CZs</t>
  </si>
  <si>
    <t/>
  </si>
  <si>
    <t/>
  </si>
  <si>
    <t/>
  </si>
  <si>
    <t>Full sample</t>
  </si>
  <si>
    <t/>
  </si>
  <si>
    <t/>
  </si>
  <si>
    <t>9.263</t>
  </si>
  <si>
    <t>(0.124)</t>
  </si>
  <si>
    <t/>
  </si>
  <si>
    <t>9.019</t>
  </si>
  <si>
    <t>(0.0683)</t>
  </si>
  <si>
    <t/>
  </si>
  <si>
    <t>0.183</t>
  </si>
  <si>
    <t>(0.0866)</t>
  </si>
  <si>
    <t/>
  </si>
  <si>
    <t>0.0613</t>
  </si>
  <si>
    <t>(0.0107)</t>
  </si>
  <si>
    <t/>
  </si>
  <si>
    <t>750</t>
  </si>
  <si>
    <t/>
  </si>
  <si>
    <t/>
  </si>
  <si>
    <t/>
  </si>
  <si>
    <t>Small Size&lt;25k</t>
  </si>
  <si>
    <t/>
  </si>
  <si>
    <t/>
  </si>
  <si>
    <t>9.222</t>
  </si>
  <si>
    <t>(0.128)</t>
  </si>
  <si>
    <t/>
  </si>
  <si>
    <t>8.987</t>
  </si>
  <si>
    <t>(0.0546)</t>
  </si>
  <si>
    <t/>
  </si>
  <si>
    <t>0.178</t>
  </si>
  <si>
    <t>(0.114)</t>
  </si>
  <si>
    <t/>
  </si>
  <si>
    <t>0.0557</t>
  </si>
  <si>
    <t>(0.0139)</t>
  </si>
  <si>
    <t/>
  </si>
  <si>
    <t>300</t>
  </si>
  <si>
    <t/>
  </si>
  <si>
    <t/>
  </si>
  <si>
    <t>Large Size&gt;25k</t>
  </si>
  <si>
    <t>Top 10</t>
  </si>
  <si>
    <t>Urban</t>
  </si>
  <si>
    <t/>
  </si>
  <si>
    <t>9.723</t>
  </si>
  <si>
    <t>(0.0823)</t>
  </si>
  <si>
    <t/>
  </si>
  <si>
    <t>9.244</t>
  </si>
  <si>
    <t>(0.0284)</t>
  </si>
  <si>
    <t/>
  </si>
  <si>
    <t>0.407</t>
  </si>
  <si>
    <t>(0.0566)</t>
  </si>
  <si>
    <t/>
  </si>
  <si>
    <t>0.0730</t>
  </si>
  <si>
    <t>(0.00460)</t>
  </si>
  <si>
    <t/>
  </si>
  <si>
    <t>10</t>
  </si>
  <si>
    <t/>
  </si>
  <si>
    <t/>
  </si>
  <si>
    <t/>
  </si>
  <si>
    <t/>
  </si>
  <si>
    <t>Resource</t>
  </si>
  <si>
    <t/>
  </si>
  <si>
    <t>9.539</t>
  </si>
  <si>
    <t>(0.0508)</t>
  </si>
  <si>
    <t/>
  </si>
  <si>
    <t>9.068</t>
  </si>
  <si>
    <t>(0.0323)</t>
  </si>
  <si>
    <t/>
  </si>
  <si>
    <t>0.414</t>
  </si>
  <si>
    <t>(0.0288)</t>
  </si>
  <si>
    <t/>
  </si>
  <si>
    <t>0.0569</t>
  </si>
  <si>
    <t>(0.0199)</t>
  </si>
  <si>
    <t/>
  </si>
  <si>
    <t/>
  </si>
  <si>
    <t/>
  </si>
  <si>
    <t/>
  </si>
  <si>
    <t/>
  </si>
  <si>
    <t>Mid 10-90</t>
  </si>
  <si>
    <t/>
  </si>
  <si>
    <t/>
  </si>
  <si>
    <t>9.285</t>
  </si>
  <si>
    <t>(0.102)</t>
  </si>
  <si>
    <t/>
  </si>
  <si>
    <t>9.037</t>
  </si>
  <si>
    <t>(0.0664)</t>
  </si>
  <si>
    <t/>
  </si>
  <si>
    <t>0.183</t>
  </si>
  <si>
    <t>(0.0532)</t>
  </si>
  <si>
    <t/>
  </si>
  <si>
    <t>0.0648</t>
  </si>
  <si>
    <t>(0.00546)</t>
  </si>
  <si>
    <t/>
  </si>
  <si>
    <t>450</t>
  </si>
  <si>
    <t/>
  </si>
  <si>
    <t/>
  </si>
  <si>
    <t/>
  </si>
  <si>
    <t>Bottom 10</t>
  </si>
  <si>
    <t/>
  </si>
  <si>
    <t/>
  </si>
  <si>
    <t>9.127</t>
  </si>
  <si>
    <t>(0.0694)</t>
  </si>
  <si>
    <t/>
  </si>
  <si>
    <t>8.997</t>
  </si>
  <si>
    <t>(0.0556)</t>
  </si>
  <si>
    <t/>
  </si>
  <si>
    <t>0.0673</t>
  </si>
  <si>
    <t>(0.0177)</t>
  </si>
  <si>
    <t/>
  </si>
  <si>
    <t>0.0629</t>
  </si>
  <si>
    <t>(0.00747)</t>
  </si>
  <si>
    <t/>
  </si>
  <si>
    <t>10</t>
  </si>
  <si>
    <t/>
  </si>
  <si>
    <t/>
  </si>
  <si>
    <t/>
  </si>
  <si>
    <t>Quintile 1</t>
  </si>
  <si>
    <t/>
  </si>
  <si>
    <t/>
  </si>
  <si>
    <t>9.143</t>
  </si>
  <si>
    <t>(0.0621)</t>
  </si>
  <si>
    <t/>
  </si>
  <si>
    <t>8.994</t>
  </si>
  <si>
    <t>(0.0527)</t>
  </si>
  <si>
    <t/>
  </si>
  <si>
    <t>0.0877</t>
  </si>
  <si>
    <t>(0.0278)</t>
  </si>
  <si>
    <t/>
  </si>
  <si>
    <t>0.0610</t>
  </si>
  <si>
    <t>(0.00854)</t>
  </si>
  <si>
    <t/>
  </si>
  <si>
    <t>150</t>
  </si>
  <si>
    <t/>
  </si>
  <si>
    <t/>
  </si>
  <si>
    <t/>
  </si>
  <si>
    <t>Quintile 2</t>
  </si>
  <si>
    <t/>
  </si>
  <si>
    <t/>
  </si>
  <si>
    <t>9.198</t>
  </si>
  <si>
    <t>(0.0535)</t>
  </si>
  <si>
    <t/>
  </si>
  <si>
    <t>8.998</t>
  </si>
  <si>
    <t>(0.0498)</t>
  </si>
  <si>
    <t/>
  </si>
  <si>
    <t>0.139</t>
  </si>
  <si>
    <t>(0.0105)</t>
  </si>
  <si>
    <t/>
  </si>
  <si>
    <t>0.0615</t>
  </si>
  <si>
    <t>(0.00939)</t>
  </si>
  <si>
    <t/>
  </si>
  <si>
    <t>150</t>
  </si>
  <si>
    <t/>
  </si>
  <si>
    <t/>
  </si>
  <si>
    <t/>
  </si>
  <si>
    <t>Quintile 3</t>
  </si>
  <si>
    <t/>
  </si>
  <si>
    <t/>
  </si>
  <si>
    <t>9.252</t>
  </si>
  <si>
    <t>(0.0638)</t>
  </si>
  <si>
    <t/>
  </si>
  <si>
    <t>9.017</t>
  </si>
  <si>
    <t>(0.0590)</t>
  </si>
  <si>
    <t/>
  </si>
  <si>
    <t>0.172</t>
  </si>
  <si>
    <t>(0.00951)</t>
  </si>
  <si>
    <t/>
  </si>
  <si>
    <t>0.0627</t>
  </si>
  <si>
    <t>(0.00764)</t>
  </si>
  <si>
    <t/>
  </si>
  <si>
    <t>150</t>
  </si>
  <si>
    <t/>
  </si>
  <si>
    <t/>
  </si>
  <si>
    <t/>
  </si>
  <si>
    <t>Quintile 4</t>
  </si>
  <si>
    <t/>
  </si>
  <si>
    <t/>
  </si>
  <si>
    <t>9.305</t>
  </si>
  <si>
    <t>(0.0715)</t>
  </si>
  <si>
    <t/>
  </si>
  <si>
    <t>9.037</t>
  </si>
  <si>
    <t>(0.0665)</t>
  </si>
  <si>
    <t/>
  </si>
  <si>
    <t>0.206</t>
  </si>
  <si>
    <t>(0.0115)</t>
  </si>
  <si>
    <t/>
  </si>
  <si>
    <t>0.0619</t>
  </si>
  <si>
    <t>(0.00776)</t>
  </si>
  <si>
    <t/>
  </si>
  <si>
    <t>150</t>
  </si>
  <si>
    <t/>
  </si>
  <si>
    <t/>
  </si>
  <si>
    <t/>
  </si>
  <si>
    <t>Quintile 5</t>
  </si>
  <si>
    <t/>
  </si>
  <si>
    <t/>
  </si>
  <si>
    <t>9.419</t>
  </si>
  <si>
    <t>(0.127)</t>
  </si>
  <si>
    <t/>
  </si>
  <si>
    <t>9.049</t>
  </si>
  <si>
    <t>(0.0891)</t>
  </si>
  <si>
    <t/>
  </si>
  <si>
    <t>0.310</t>
  </si>
  <si>
    <t>(0.0927)</t>
  </si>
  <si>
    <t/>
  </si>
  <si>
    <t>0.0595</t>
  </si>
  <si>
    <t>(0.0170)</t>
  </si>
  <si>
    <t/>
  </si>
  <si>
    <t>150</t>
  </si>
  <si>
    <t>output 1 - comparison of psics</t>
  </si>
  <si>
    <t>Number of estimates: 12</t>
  </si>
  <si>
    <t/>
  </si>
  <si>
    <t/>
  </si>
  <si>
    <t/>
  </si>
  <si>
    <t>psi_c_baseline</t>
  </si>
  <si>
    <t/>
  </si>
  <si>
    <t/>
  </si>
  <si>
    <t>R-sq</t>
  </si>
  <si>
    <t>SD of dependent variable</t>
  </si>
  <si>
    <t/>
  </si>
  <si>
    <t/>
  </si>
  <si>
    <t>corr</t>
  </si>
  <si>
    <t/>
  </si>
  <si>
    <t/>
  </si>
  <si>
    <t/>
  </si>
  <si>
    <t>logwage</t>
  </si>
  <si>
    <t/>
  </si>
  <si>
    <t>1.432</t>
  </si>
  <si>
    <t>(0.107)</t>
  </si>
  <si>
    <t/>
  </si>
  <si>
    <t>0.656</t>
  </si>
  <si>
    <t>0.140</t>
  </si>
  <si>
    <t/>
  </si>
  <si>
    <t/>
  </si>
  <si>
    <t>.8099382692526635</t>
  </si>
  <si>
    <t/>
  </si>
  <si>
    <t/>
  </si>
  <si>
    <t/>
  </si>
  <si>
    <t>cz_effects_m1</t>
  </si>
  <si>
    <t/>
  </si>
  <si>
    <t>1.331</t>
  </si>
  <si>
    <t>(0.0534)</t>
  </si>
  <si>
    <t/>
  </si>
  <si>
    <t>0.816</t>
  </si>
  <si>
    <t>0.117</t>
  </si>
  <si>
    <t/>
  </si>
  <si>
    <t/>
  </si>
  <si>
    <t>.9033271832508971</t>
  </si>
  <si>
    <t/>
  </si>
  <si>
    <t/>
  </si>
  <si>
    <t/>
  </si>
  <si>
    <t>cz_effects_m2</t>
  </si>
  <si>
    <t/>
  </si>
  <si>
    <t>1.265</t>
  </si>
  <si>
    <t>(0.0580)</t>
  </si>
  <si>
    <t/>
  </si>
  <si>
    <t>0.813</t>
  </si>
  <si>
    <t>0.111</t>
  </si>
  <si>
    <t/>
  </si>
  <si>
    <t/>
  </si>
  <si>
    <t>.901665126307988</t>
  </si>
  <si>
    <t/>
  </si>
  <si>
    <t/>
  </si>
  <si>
    <t/>
  </si>
  <si>
    <t>cz_effects_m3</t>
  </si>
  <si>
    <t/>
  </si>
  <si>
    <t>1.181</t>
  </si>
  <si>
    <t>(0.0616)</t>
  </si>
  <si>
    <t/>
  </si>
  <si>
    <t>0.777</t>
  </si>
  <si>
    <t>0.106</t>
  </si>
  <si>
    <t/>
  </si>
  <si>
    <t/>
  </si>
  <si>
    <t>.8814760348415606</t>
  </si>
  <si>
    <t>Output 5: Regressions of Education Gap components on CZ-level regressors (earnings, size, etc.) – Baseline AKM model</t>
  </si>
  <si>
    <t>Number of estimates: 2</t>
  </si>
  <si>
    <t/>
  </si>
  <si>
    <t/>
  </si>
  <si>
    <t/>
  </si>
  <si>
    <t/>
  </si>
  <si>
    <t/>
  </si>
  <si>
    <t/>
  </si>
  <si>
    <t>mlogwage4</t>
  </si>
  <si>
    <t/>
  </si>
  <si>
    <t/>
  </si>
  <si>
    <t/>
  </si>
  <si>
    <t>logsize_c</t>
  </si>
  <si>
    <t/>
  </si>
  <si>
    <t/>
  </si>
  <si>
    <t/>
  </si>
  <si>
    <t/>
  </si>
  <si>
    <t/>
  </si>
  <si>
    <t>Education gap components</t>
  </si>
  <si>
    <t>A+C+D</t>
  </si>
  <si>
    <t/>
  </si>
  <si>
    <t/>
  </si>
  <si>
    <t>0.233</t>
  </si>
  <si>
    <t>(0.0171)</t>
  </si>
  <si>
    <t/>
  </si>
  <si>
    <t/>
  </si>
  <si>
    <t>0.0198</t>
  </si>
  <si>
    <t>(0.00123)</t>
  </si>
  <si>
    <t>cz</t>
  </si>
  <si>
    <t>czname</t>
  </si>
  <si>
    <t>Los Angeles city, CA</t>
  </si>
  <si>
    <t>New York city, NY</t>
  </si>
  <si>
    <t>Chicago city, IL</t>
  </si>
  <si>
    <t>Newark city, NJ</t>
  </si>
  <si>
    <t>Houston city, TX</t>
  </si>
  <si>
    <t>Philadelphia city, PA</t>
  </si>
  <si>
    <t>Boston city, MA</t>
  </si>
  <si>
    <t>San Francisco city, CA</t>
  </si>
  <si>
    <t>Atlanta city, GA</t>
  </si>
  <si>
    <t>Detroit city, MI</t>
  </si>
  <si>
    <t>Seattle city, WA</t>
  </si>
  <si>
    <t>Dallas city, TX</t>
  </si>
  <si>
    <t>Miami city, FL</t>
  </si>
  <si>
    <t>Phoenix city, AZ</t>
  </si>
  <si>
    <t>Minneapolis city, MN</t>
  </si>
  <si>
    <t>Bridgeport city, CT</t>
  </si>
  <si>
    <t>Denver city, CO</t>
  </si>
  <si>
    <t>San Diego city, CA</t>
  </si>
  <si>
    <t>Sacramento city, CA</t>
  </si>
  <si>
    <t>Baltimore city, MD</t>
  </si>
  <si>
    <t>Tampa city, FL</t>
  </si>
  <si>
    <t>San Jose city, CA</t>
  </si>
  <si>
    <t>Cleveland city, OH</t>
  </si>
  <si>
    <t>St. Louis city, MO</t>
  </si>
  <si>
    <t>Pittsburgh city, PA</t>
  </si>
  <si>
    <t>Fort Worth city, TX</t>
  </si>
  <si>
    <t>Orlando city, FL</t>
  </si>
  <si>
    <t>Portland city, OR</t>
  </si>
  <si>
    <t>Buffalo city, NY</t>
  </si>
  <si>
    <t>San Antonio city, TX</t>
  </si>
  <si>
    <t>Las Vegas city, NV</t>
  </si>
  <si>
    <t>Austin city, TX</t>
  </si>
  <si>
    <t>Cincinnati city, OH</t>
  </si>
  <si>
    <t>Kansas City city, MO</t>
  </si>
  <si>
    <t>Raleigh city, NC</t>
  </si>
  <si>
    <t>Columbus city, OH</t>
  </si>
  <si>
    <t>Charlotte city, NC</t>
  </si>
  <si>
    <t>Salt Lake City city, UT</t>
  </si>
  <si>
    <t>Milwaukee city, WI</t>
  </si>
  <si>
    <t>West Palm Beach city, FL</t>
  </si>
  <si>
    <t>Providence city, RI</t>
  </si>
  <si>
    <t>Fresno city, CA</t>
  </si>
  <si>
    <t>Grand Rapids city, MI</t>
  </si>
  <si>
    <t>Manchester city, NH</t>
  </si>
  <si>
    <t>Oklahoma City city, OK</t>
  </si>
  <si>
    <t>Virginia Beach city, VA</t>
  </si>
  <si>
    <t>psi_acspredict</t>
  </si>
  <si>
    <t>frachighed</t>
  </si>
  <si>
    <t>lnsize</t>
  </si>
  <si>
    <t>wcount</t>
  </si>
  <si>
    <t>Constant</t>
  </si>
  <si>
    <t>logsize</t>
  </si>
  <si>
    <t>cz_13p_e_m3</t>
  </si>
  <si>
    <t>cz_13p_e_m2</t>
  </si>
  <si>
    <t>logearn13p</t>
  </si>
  <si>
    <t>cz_13p_w_m3</t>
  </si>
  <si>
    <t>cz_13p_w_m2</t>
  </si>
  <si>
    <t>logwage13p</t>
  </si>
  <si>
    <t>cz_hs_e_m3</t>
  </si>
  <si>
    <t>cz_hs_e_m2</t>
  </si>
  <si>
    <t>logearnhs</t>
  </si>
  <si>
    <t>cz_hs_w_m3</t>
  </si>
  <si>
    <t>cz_hs_w_m2</t>
  </si>
  <si>
    <t>logwagehs</t>
  </si>
  <si>
    <t>cz_all_e_m3</t>
  </si>
  <si>
    <t>cz_all_e_m2</t>
  </si>
  <si>
    <t>logearn</t>
  </si>
  <si>
    <t>cz_all_w_m3</t>
  </si>
  <si>
    <t>cz_all_w_m2</t>
  </si>
  <si>
    <t>VARIABLES</t>
  </si>
  <si>
    <t>at1_r6_c3</t>
  </si>
  <si>
    <t>at1_r6_c2</t>
  </si>
  <si>
    <t>at1_r6_c1</t>
  </si>
  <si>
    <t>at1_r5_c3</t>
  </si>
  <si>
    <t>at1_r5_c2</t>
  </si>
  <si>
    <t>at1_r5_c1</t>
  </si>
  <si>
    <t>at1_r4_c3</t>
  </si>
  <si>
    <t>at1_r4_c2</t>
  </si>
  <si>
    <t>at1_r4_c1</t>
  </si>
  <si>
    <t>at1_r3_c3</t>
  </si>
  <si>
    <t>at1_r3_c2</t>
  </si>
  <si>
    <t>at1_r3_c1</t>
  </si>
  <si>
    <t>at1_r2_c3</t>
  </si>
  <si>
    <t>at1_r2_c2</t>
  </si>
  <si>
    <t>at1_r2_c1</t>
  </si>
  <si>
    <t>at1_r1_c3</t>
  </si>
  <si>
    <t>at1_r1_c2</t>
  </si>
  <si>
    <t>at1_r1_c1</t>
  </si>
  <si>
    <t>cz_f_hours_m2</t>
  </si>
  <si>
    <t>cz_m_hours_m2</t>
  </si>
  <si>
    <t>cz_all_hours_m2</t>
  </si>
  <si>
    <t>hours_f</t>
  </si>
  <si>
    <t>hours_m</t>
  </si>
  <si>
    <t>hours</t>
  </si>
  <si>
    <t>cz_f_emp_m2</t>
  </si>
  <si>
    <t>cz_m_emp_m2</t>
  </si>
  <si>
    <t>cz_all_emp_m2</t>
  </si>
  <si>
    <t>emp_f</t>
  </si>
  <si>
    <t>emp_m</t>
  </si>
  <si>
    <t>emp</t>
  </si>
  <si>
    <t>at2_r4_c9</t>
  </si>
  <si>
    <t>at2_r4_c8</t>
  </si>
  <si>
    <t>at2_r4_c7</t>
  </si>
  <si>
    <t>at2_r4_c6</t>
  </si>
  <si>
    <t>at2_r4_c5</t>
  </si>
  <si>
    <t>at2_r4_c4</t>
  </si>
  <si>
    <t>at2_r4_c3</t>
  </si>
  <si>
    <t>at2_r4_c2</t>
  </si>
  <si>
    <t>at2_r4_c1</t>
  </si>
  <si>
    <t>at2_r3_c9</t>
  </si>
  <si>
    <t>at2_r3_c8</t>
  </si>
  <si>
    <t>at2_r3_c7</t>
  </si>
  <si>
    <t>at2_r3_c6</t>
  </si>
  <si>
    <t>at2_r3_c5</t>
  </si>
  <si>
    <t>at2_r3_c4</t>
  </si>
  <si>
    <t>at2_r3_c3</t>
  </si>
  <si>
    <t>at2_r3_c2</t>
  </si>
  <si>
    <t>at2_r3_c1</t>
  </si>
  <si>
    <t>at2_r2_c9</t>
  </si>
  <si>
    <t>at2_r2_c8</t>
  </si>
  <si>
    <t>at2_r2_c7</t>
  </si>
  <si>
    <t>at2_r2_c6</t>
  </si>
  <si>
    <t>at2_r2_c5</t>
  </si>
  <si>
    <t>at2_r2_c4</t>
  </si>
  <si>
    <t>at2_r2_c3</t>
  </si>
  <si>
    <t>at2_r2_c2</t>
  </si>
  <si>
    <t>at2_r2_c1</t>
  </si>
  <si>
    <t>at2_r1_c9</t>
  </si>
  <si>
    <t>at2_r1_c8</t>
  </si>
  <si>
    <t>at2_r1_c7</t>
  </si>
  <si>
    <t>at2_r1_c6</t>
  </si>
  <si>
    <t>at2_r1_c5</t>
  </si>
  <si>
    <t>at2_r1_c4</t>
  </si>
  <si>
    <t>at2_r1_c3</t>
  </si>
  <si>
    <t>at2_r1_c2</t>
  </si>
  <si>
    <t>at2_r1_c1</t>
  </si>
  <si>
    <t>cz_rent</t>
  </si>
  <si>
    <t>logrent</t>
  </si>
  <si>
    <t>cz_value</t>
  </si>
  <si>
    <t>logvalue</t>
  </si>
  <si>
    <t>at7_c2_r4</t>
  </si>
  <si>
    <t>at7_c1_r4</t>
  </si>
  <si>
    <t>at7_c2_r3</t>
  </si>
  <si>
    <t>at7_c1_r3</t>
  </si>
  <si>
    <t>at7_c2_r2</t>
  </si>
  <si>
    <t>at7_c1_r2</t>
  </si>
  <si>
    <t>at7_c2_r1</t>
  </si>
  <si>
    <t>at7_c1_r1</t>
  </si>
  <si>
    <t>Arlington CDP, VA</t>
  </si>
  <si>
    <t>Indianapolis city (remaind, IN</t>
  </si>
  <si>
    <t>Nashville-Davidson (remain, TN</t>
  </si>
  <si>
    <t>Jacksonville city (remaind, FL</t>
  </si>
  <si>
    <t>Richmond city, VA</t>
  </si>
  <si>
    <t>Louisville city, KY</t>
  </si>
  <si>
    <t>New Orleans city, LA</t>
  </si>
  <si>
    <t>Memphis city, TN</t>
  </si>
  <si>
    <t>Harrisburg city, PA</t>
  </si>
  <si>
    <t>Reading city, PA</t>
  </si>
  <si>
    <t>Brick Township CDP, NJ</t>
  </si>
  <si>
    <t>Greensboro city, NC</t>
  </si>
  <si>
    <t>Albany city, NY</t>
  </si>
  <si>
    <t>Dayton city, OH</t>
  </si>
  <si>
    <t>Birmingham city, AL</t>
  </si>
  <si>
    <t>Tucson city, AZ</t>
  </si>
  <si>
    <t>Syracuse city, NY</t>
  </si>
  <si>
    <t>Honolulu CDP, HI</t>
  </si>
  <si>
    <t>Eugene city, OR</t>
  </si>
  <si>
    <t>Tulsa city, OK</t>
  </si>
  <si>
    <t>Brownsville city, TX</t>
  </si>
  <si>
    <t>Omaha city, NE</t>
  </si>
  <si>
    <t>Greenville city, SC</t>
  </si>
  <si>
    <t>El Paso city, TX</t>
  </si>
  <si>
    <t>Baton Rouge city, LA</t>
  </si>
  <si>
    <t>Poughkeepsie city, NY</t>
  </si>
  <si>
    <t>Albuquerque city, NM</t>
  </si>
  <si>
    <t>Scranton city, PA</t>
  </si>
  <si>
    <t>Columbia city, SC</t>
  </si>
  <si>
    <t>Cape Coral city, FL</t>
  </si>
  <si>
    <t>Toledo city, OH</t>
  </si>
  <si>
    <t>Alaska CZs</t>
  </si>
  <si>
    <t>Des Moines city, IA</t>
  </si>
  <si>
    <t>Madison city, WI</t>
  </si>
  <si>
    <t>Knoxville city, TN</t>
  </si>
  <si>
    <t>Colorado Springs city, CO</t>
  </si>
  <si>
    <t>Charleston city, SC</t>
  </si>
  <si>
    <t>Modesto city, CA</t>
  </si>
  <si>
    <t>Sarasota city, FL</t>
  </si>
  <si>
    <t>Little Rock city, AR</t>
  </si>
  <si>
    <t>Portland city, ME</t>
  </si>
  <si>
    <t>Bakersfield city, CA</t>
  </si>
  <si>
    <t>Allentown city, PA</t>
  </si>
  <si>
    <t>Spokane city, WA</t>
  </si>
  <si>
    <t>Pensacola city, FL</t>
  </si>
  <si>
    <t>Youngstown city, OH</t>
  </si>
  <si>
    <t>Santa Barbara city, CA</t>
  </si>
  <si>
    <t>Springfield city, MA</t>
  </si>
  <si>
    <t>Boise City city, ID</t>
  </si>
  <si>
    <t>Gary city, IN</t>
  </si>
  <si>
    <t>Fort Collins city, CO</t>
  </si>
  <si>
    <t>Wilmington city, DE</t>
  </si>
  <si>
    <t>Canton city, OH</t>
  </si>
  <si>
    <t>Racine city, WI</t>
  </si>
  <si>
    <t>Appleton city, WI</t>
  </si>
  <si>
    <t>Rockford city, IL</t>
  </si>
  <si>
    <t>Greenville city, NC</t>
  </si>
  <si>
    <t>Lexington-Fayette, KY</t>
  </si>
  <si>
    <t>Fayetteville city, NC</t>
  </si>
  <si>
    <t>Lakeland city, FL</t>
  </si>
  <si>
    <t>South Bend city, IN</t>
  </si>
  <si>
    <t>Huntsville city, AL</t>
  </si>
  <si>
    <t>Wichita city, KS</t>
  </si>
  <si>
    <t>Newport News city, VA</t>
  </si>
  <si>
    <t>Erie city, PA</t>
  </si>
  <si>
    <t>Santa Rosa city, CA</t>
  </si>
  <si>
    <t>Palm Bay city, FL</t>
  </si>
  <si>
    <t>Fort Wayne city, IN</t>
  </si>
  <si>
    <t>Mobile city, AL</t>
  </si>
  <si>
    <t>Florence city, SC</t>
  </si>
  <si>
    <t>Reno city, NV</t>
  </si>
  <si>
    <t>Jackson city, MS</t>
  </si>
  <si>
    <t>Provo city, UT</t>
  </si>
  <si>
    <t>Daytona Beach city, FL</t>
  </si>
  <si>
    <t>South Augusta CDP, GA</t>
  </si>
  <si>
    <t>Lafayette city, LA</t>
  </si>
  <si>
    <t>Savannah city, GA</t>
  </si>
  <si>
    <t>Chattanooga city, TN</t>
  </si>
  <si>
    <t>Johnson City city, TN</t>
  </si>
  <si>
    <t>Peoria city, IL</t>
  </si>
  <si>
    <t>Winston-Salem city, NC</t>
  </si>
  <si>
    <t>Kalamazoo city, MI</t>
  </si>
  <si>
    <t>Dover city, DE</t>
  </si>
  <si>
    <t>Fayetteville city, AR</t>
  </si>
  <si>
    <t>Springfield city, MO</t>
  </si>
  <si>
    <t>Corpus Christi city, TX</t>
  </si>
  <si>
    <t>Lansing city, MI</t>
  </si>
  <si>
    <t>Anniston city, AL</t>
  </si>
  <si>
    <t>Rome city, GA</t>
  </si>
  <si>
    <t>Roanoke city, VA</t>
  </si>
  <si>
    <t>Tallahassee city, FL</t>
  </si>
  <si>
    <t>Shreveport city, LA</t>
  </si>
  <si>
    <t>Hagerstown city, MD</t>
  </si>
  <si>
    <t>Saginaw city, MI</t>
  </si>
  <si>
    <t>Biloxi city, MS</t>
  </si>
  <si>
    <t>Beaumont city, TX</t>
  </si>
  <si>
    <t>Wilmington city, NC</t>
  </si>
  <si>
    <t>Asheville city, NC</t>
  </si>
  <si>
    <t>Lorain city, OH</t>
  </si>
  <si>
    <t>Gastonia city, NC</t>
  </si>
  <si>
    <t>Tyler city, TX</t>
  </si>
  <si>
    <t>Evansville city, IN</t>
  </si>
  <si>
    <t>Hickory city, NC</t>
  </si>
  <si>
    <t>Killeen city, TX</t>
  </si>
  <si>
    <t>Lake Jackson city, TX</t>
  </si>
  <si>
    <t>Kennewick city, WA</t>
  </si>
  <si>
    <t>Decatur city, IL</t>
  </si>
  <si>
    <t>Lincoln city, NE</t>
  </si>
  <si>
    <t>Wausau city, WI</t>
  </si>
  <si>
    <t>Macon city, GA</t>
  </si>
  <si>
    <t>Davenport city, IA</t>
  </si>
  <si>
    <t>Alton city, IL</t>
  </si>
  <si>
    <t>Lafayette city, IN</t>
  </si>
  <si>
    <t>Elkhart city, IN</t>
  </si>
  <si>
    <t>Chico city, CA</t>
  </si>
  <si>
    <t>Montgomery city, AL</t>
  </si>
  <si>
    <t>Columbia city, MO</t>
  </si>
  <si>
    <t>Muncie city, IN</t>
  </si>
  <si>
    <t>Fredericksburg city, VA</t>
  </si>
  <si>
    <t>Topeka city, KS</t>
  </si>
  <si>
    <t>Altoona city, PA</t>
  </si>
  <si>
    <t>Burlington city, VT</t>
  </si>
  <si>
    <t>Spartanburg city, SC</t>
  </si>
  <si>
    <t>Green Bay city, WI</t>
  </si>
  <si>
    <t>Eau Claire city, WI</t>
  </si>
  <si>
    <t>Ocala city, FL</t>
  </si>
  <si>
    <t>Gainesville city, FL</t>
  </si>
  <si>
    <t>Lubbock city, TX</t>
  </si>
  <si>
    <t>St. Cloud city, MN</t>
  </si>
  <si>
    <t>Elmira city, NY</t>
  </si>
  <si>
    <t>State College borough, PA</t>
  </si>
  <si>
    <t>Odessa city, TX</t>
  </si>
  <si>
    <t>Charlottesville city, VA</t>
  </si>
  <si>
    <t>Lake Charles city, LA</t>
  </si>
  <si>
    <t>Gainesville city, GA</t>
  </si>
  <si>
    <t>Pocatello city, ID</t>
  </si>
  <si>
    <t>Yuma city, AZ</t>
  </si>
  <si>
    <t>Fort Smith city, AR</t>
  </si>
  <si>
    <t>Bloomington city, IN</t>
  </si>
  <si>
    <t>Flagstaff city, AZ</t>
  </si>
  <si>
    <t>Columbus city (remainder), GA</t>
  </si>
  <si>
    <t>Clarksville city, TN</t>
  </si>
  <si>
    <t>Charleston city, WV</t>
  </si>
  <si>
    <t>Duluth city, MN</t>
  </si>
  <si>
    <t>Waco city, TX</t>
  </si>
  <si>
    <t>Mansfield city, OH</t>
  </si>
  <si>
    <t>Fargo city, ND</t>
  </si>
  <si>
    <t>Cedar Rapids city, IA</t>
  </si>
  <si>
    <t>Sioux Falls city, SD</t>
  </si>
  <si>
    <t>Longview city, TX</t>
  </si>
  <si>
    <t>Rochester city, MN</t>
  </si>
  <si>
    <t>Bangor city, ME</t>
  </si>
  <si>
    <t>Jackson city, MI</t>
  </si>
  <si>
    <t>Huntington city, WV</t>
  </si>
  <si>
    <t>Bryan city, TX</t>
  </si>
  <si>
    <t>Morgantown city, WV</t>
  </si>
  <si>
    <t>Binghamton city, NY</t>
  </si>
  <si>
    <t>Springfield city, IL</t>
  </si>
  <si>
    <t>Amarillo city, TX</t>
  </si>
  <si>
    <t>Tuscaloosa city, AL</t>
  </si>
  <si>
    <t>Joplin city, MO</t>
  </si>
  <si>
    <t>Claremont city, NH</t>
  </si>
  <si>
    <t>Gadsden city, AL</t>
  </si>
  <si>
    <t>Yakima city, WA</t>
  </si>
  <si>
    <t>Houma city, LA</t>
  </si>
  <si>
    <t>Athens city, GA</t>
  </si>
  <si>
    <t>Lima city, OH</t>
  </si>
  <si>
    <t>Terre Haute city, IN</t>
  </si>
  <si>
    <t>La Crosse city, WI</t>
  </si>
  <si>
    <t>Findlay city, OH</t>
  </si>
  <si>
    <t>Lynchburg city, VA</t>
  </si>
  <si>
    <t>Iowa City city, IA</t>
  </si>
  <si>
    <t>Watertown city, NY</t>
  </si>
  <si>
    <t>Medford city, OR</t>
  </si>
  <si>
    <t>Bloomington city, IL</t>
  </si>
  <si>
    <t>Dothan city, AL</t>
  </si>
  <si>
    <t>Waterloo city, IA</t>
  </si>
  <si>
    <t>Morristown city, TN</t>
  </si>
  <si>
    <t>Carbondale city, IL</t>
  </si>
  <si>
    <t>Laredo city, TX</t>
  </si>
  <si>
    <t>Goldsboro city, NC</t>
  </si>
  <si>
    <t>Valdosta city, GA</t>
  </si>
  <si>
    <t>Grand Junction city, CO</t>
  </si>
  <si>
    <t>Bellingham city, WA</t>
  </si>
  <si>
    <t>Williamsport city, PA</t>
  </si>
  <si>
    <t>Monroe city, LA</t>
  </si>
  <si>
    <t>Longview city, WA</t>
  </si>
  <si>
    <t>Harrisonburg city, VA</t>
  </si>
  <si>
    <t>Rocky Mount city, NC</t>
  </si>
  <si>
    <t>Rapid City city, SD</t>
  </si>
  <si>
    <t>Sheboygan city, WI</t>
  </si>
  <si>
    <t>Bend city, OR</t>
  </si>
  <si>
    <t>Florence city, AL</t>
  </si>
  <si>
    <t>Texarkana city, TX</t>
  </si>
  <si>
    <t>Santa Fe city, NM</t>
  </si>
  <si>
    <t>Cleveland city, TN</t>
  </si>
  <si>
    <t>Sumter city, SC</t>
  </si>
  <si>
    <t>Abilene city, TX</t>
  </si>
  <si>
    <t>Jonesboro city, AR</t>
  </si>
  <si>
    <t>Logan city, UT</t>
  </si>
  <si>
    <t>Staunton city, VA</t>
  </si>
  <si>
    <t>Portsmouth city, OH</t>
  </si>
  <si>
    <t>Sioux City city, IA</t>
  </si>
  <si>
    <t>Redding city, CA</t>
  </si>
  <si>
    <t>Bowling Green city, KY</t>
  </si>
  <si>
    <t>Panama City city, FL</t>
  </si>
  <si>
    <t>Auburn city, AL</t>
  </si>
  <si>
    <t>Fort Knox CDP, KY</t>
  </si>
  <si>
    <t>Hot Springs city, AR</t>
  </si>
  <si>
    <t>Pueblo city, CO</t>
  </si>
  <si>
    <t>Sherman city, TX</t>
  </si>
  <si>
    <t>Manhattan city, KS</t>
  </si>
  <si>
    <t>Sunbury city, PA</t>
  </si>
  <si>
    <t>Glenwood Springs city, CO</t>
  </si>
  <si>
    <t>Tupelo city, MS</t>
  </si>
  <si>
    <t>Paris city, TX</t>
  </si>
  <si>
    <t>Billings city, MT</t>
  </si>
  <si>
    <t>Zanesville city, OH</t>
  </si>
  <si>
    <t>Bismarck city, ND</t>
  </si>
  <si>
    <t>Jackson city, TN</t>
  </si>
  <si>
    <t>Farmington city, NM</t>
  </si>
  <si>
    <t>Mankato city, MN</t>
  </si>
  <si>
    <t>Parkersburg city, WV</t>
  </si>
  <si>
    <t>Lawton city, OK</t>
  </si>
  <si>
    <t>Kokomo city, IN</t>
  </si>
  <si>
    <t>Gallup city, NM</t>
  </si>
  <si>
    <t>Owensboro city, KY</t>
  </si>
  <si>
    <t>Olean city, NY</t>
  </si>
  <si>
    <t>Columbus city, IN</t>
  </si>
  <si>
    <t>Wheeling city, WV</t>
  </si>
  <si>
    <t>Lufkin city, TX</t>
  </si>
  <si>
    <t>Cambridge city, MD</t>
  </si>
  <si>
    <t>St. George city, UT</t>
  </si>
  <si>
    <t>Columbia city, TN</t>
  </si>
  <si>
    <t>Hilo CDP, HI</t>
  </si>
  <si>
    <t>Cape Girardeau city, MO</t>
  </si>
  <si>
    <t>Missoula city, MT</t>
  </si>
  <si>
    <t>St. Joseph city, MO</t>
  </si>
  <si>
    <t>Alexandria city, LA</t>
  </si>
  <si>
    <t>Hattiesburg city, MS</t>
  </si>
  <si>
    <t>Victoria city, TX</t>
  </si>
  <si>
    <t>Pittsfield city, MA</t>
  </si>
  <si>
    <t>Plattsburgh city, NY</t>
  </si>
  <si>
    <t>Dubuque city, IA</t>
  </si>
  <si>
    <t>Traverse City city, MI</t>
  </si>
  <si>
    <t>Kahului CDP, HI</t>
  </si>
  <si>
    <t>Morganton city, NC</t>
  </si>
  <si>
    <t>Cumberland city, MD</t>
  </si>
  <si>
    <t>Ottumwa city, IA</t>
  </si>
  <si>
    <t>Bozeman city, MT</t>
  </si>
  <si>
    <t>Hinesville city, GA</t>
  </si>
  <si>
    <t>Albany city, GA</t>
  </si>
  <si>
    <t>Oneonta city, NY</t>
  </si>
  <si>
    <t>Bluefield city, WV</t>
  </si>
  <si>
    <t>Griffin city, GA</t>
  </si>
  <si>
    <t>South Boston city, VA</t>
  </si>
  <si>
    <t>Wichita Falls city, TX</t>
  </si>
  <si>
    <t>Hibbing city, MN</t>
  </si>
  <si>
    <t>Beckley city, WV</t>
  </si>
  <si>
    <t>Greensburg city, IN</t>
  </si>
  <si>
    <t>Quincy city, IL</t>
  </si>
  <si>
    <t>Farmington city, MO</t>
  </si>
  <si>
    <t>Roseburg city, OR</t>
  </si>
  <si>
    <t>Monett city, MO</t>
  </si>
  <si>
    <t>Mount Vernon city, IL</t>
  </si>
  <si>
    <t>Lake City city, FL</t>
  </si>
  <si>
    <t>Kankakee city, IL</t>
  </si>
  <si>
    <t>Mount Pleasant city, MI</t>
  </si>
  <si>
    <t>Twin Falls city, ID</t>
  </si>
  <si>
    <t>Winchester city, VA</t>
  </si>
  <si>
    <t>Eureka city, CA</t>
  </si>
  <si>
    <t>Henderson city, KY</t>
  </si>
  <si>
    <t>Pikeville city, KY</t>
  </si>
  <si>
    <t>Meridian city, MS</t>
  </si>
  <si>
    <t>Tullahoma city, TN</t>
  </si>
  <si>
    <t>Owatonna city, MN</t>
  </si>
  <si>
    <t>Russellville city, AR</t>
  </si>
  <si>
    <t>Muskogee city, OK</t>
  </si>
  <si>
    <t>Galesburg city, IL</t>
  </si>
  <si>
    <t>Athens city, OH</t>
  </si>
  <si>
    <t>Kalispell city, MT</t>
  </si>
  <si>
    <t>Paris city, TN</t>
  </si>
  <si>
    <t>Grand Forks city, ND</t>
  </si>
  <si>
    <t>Monroe city, WI</t>
  </si>
  <si>
    <t>Wabash city, IN</t>
  </si>
  <si>
    <t>Bartlesville city, OK</t>
  </si>
  <si>
    <t>Paducah city, KY</t>
  </si>
  <si>
    <t>Burlington city, IA</t>
  </si>
  <si>
    <t>Talladega city, AL</t>
  </si>
  <si>
    <t>Keene city, NH</t>
  </si>
  <si>
    <t>Cheyenne city, WY</t>
  </si>
  <si>
    <t>Marshalltown city, IA</t>
  </si>
  <si>
    <t>Pine Bluff city, AR</t>
  </si>
  <si>
    <t>Richmond city, KY</t>
  </si>
  <si>
    <t>Washington city, NC</t>
  </si>
  <si>
    <t>San Angelo city, TX</t>
  </si>
  <si>
    <t>Altamont CDP, OR</t>
  </si>
  <si>
    <t>Roswell city, NM</t>
  </si>
  <si>
    <t>Steubenville city, OH</t>
  </si>
  <si>
    <t>Fergus Falls city, MN</t>
  </si>
  <si>
    <t>Brunswick city, GA</t>
  </si>
  <si>
    <t>Marquette city, MI</t>
  </si>
  <si>
    <t>Minot city, ND</t>
  </si>
  <si>
    <t>Clarksdale city, MS</t>
  </si>
  <si>
    <t>Waycross city, GA</t>
  </si>
  <si>
    <t>Ardmore city, OK</t>
  </si>
  <si>
    <t>Corinth city, MS</t>
  </si>
  <si>
    <t>Big Rapids city, MI</t>
  </si>
  <si>
    <t>Bemidji city, MN</t>
  </si>
  <si>
    <t>Corbin city, KY</t>
  </si>
  <si>
    <t>Marinette city, WI</t>
  </si>
  <si>
    <t>Somerset city, KY</t>
  </si>
  <si>
    <t>Wenatchee city, WA</t>
  </si>
  <si>
    <t>Statesboro city, GA</t>
  </si>
  <si>
    <t>Union City city, TN</t>
  </si>
  <si>
    <t>Rock Springs city, WY</t>
  </si>
  <si>
    <t>Fort Dodge city, IA</t>
  </si>
  <si>
    <t>Vidalia city, GA</t>
  </si>
  <si>
    <t>Casper city, WY</t>
  </si>
  <si>
    <t>Laurel city, MS</t>
  </si>
  <si>
    <t>Washington city, OH</t>
  </si>
  <si>
    <t>West Memphis city, AR</t>
  </si>
  <si>
    <t>Fort Leonard Wood CDP, MO</t>
  </si>
  <si>
    <t>Roanoke Rapids city, NC</t>
  </si>
  <si>
    <t>Moses Lake city, WA</t>
  </si>
  <si>
    <t>Berlin city, NH</t>
  </si>
  <si>
    <t>Amsterdam city, NY</t>
  </si>
  <si>
    <t>Danville city, KY</t>
  </si>
  <si>
    <t>Charleston city, IL</t>
  </si>
  <si>
    <t>Rice Lake city, WI</t>
  </si>
  <si>
    <t>Great Falls city, MT</t>
  </si>
  <si>
    <t>Starkville city, MS</t>
  </si>
  <si>
    <t>Crossville city, TN</t>
  </si>
  <si>
    <t>Enid city, OK</t>
  </si>
  <si>
    <t>Richmond city, IN</t>
  </si>
  <si>
    <t>Toccoa city, GA</t>
  </si>
  <si>
    <t>Defiance city, OH</t>
  </si>
  <si>
    <t>Corsicana city, TX</t>
  </si>
  <si>
    <t>Cookeville city, TN</t>
  </si>
  <si>
    <t>Lewiston city, ID</t>
  </si>
  <si>
    <t>Hobbs city, NM</t>
  </si>
  <si>
    <t>Effingham city, IL</t>
  </si>
  <si>
    <t>Nacogdoches city, TX</t>
  </si>
  <si>
    <t>Kansas City city, KS</t>
  </si>
  <si>
    <t>Greenville city, MS</t>
  </si>
  <si>
    <t>Searcy city, AR</t>
  </si>
  <si>
    <t>Blytheville city, AR</t>
  </si>
  <si>
    <t>Port Angeles city, WA</t>
  </si>
  <si>
    <t>Chickasha city, OK</t>
  </si>
  <si>
    <t>Martinsville city, VA</t>
  </si>
  <si>
    <t>North Wilkesboro town, NC</t>
  </si>
  <si>
    <t>McMinnville city, TN</t>
  </si>
  <si>
    <t>Grand Island city, NE</t>
  </si>
  <si>
    <t>Dyersburg city, TN</t>
  </si>
  <si>
    <t>Willmar city, MN</t>
  </si>
  <si>
    <t>Stillwater city, OK</t>
  </si>
  <si>
    <t>McComb city, MS</t>
  </si>
  <si>
    <t>Sedalia city, MO</t>
  </si>
  <si>
    <t>Pullman city, WA</t>
  </si>
  <si>
    <t>Eldon city, MO</t>
  </si>
  <si>
    <t>Idabel city, OK</t>
  </si>
  <si>
    <t>Columbus city, MS</t>
  </si>
  <si>
    <t>Houghton Lake CDP, MI</t>
  </si>
  <si>
    <t>Butte-Silver Bow (remainde, MT</t>
  </si>
  <si>
    <t>Clinton city, IA</t>
  </si>
  <si>
    <t>Newton city, KS</t>
  </si>
  <si>
    <t>Alamogordo city, NM</t>
  </si>
  <si>
    <t>Jacksonville city, IL</t>
  </si>
  <si>
    <t>Clovis city, NM</t>
  </si>
  <si>
    <t>Boone town, NC</t>
  </si>
  <si>
    <t>Austin city, MN</t>
  </si>
  <si>
    <t>Hutchinson city, MN</t>
  </si>
  <si>
    <t>Kerrville city, TX</t>
  </si>
  <si>
    <t>Milledgeville city, GA</t>
  </si>
  <si>
    <t>West Plains city, MO</t>
  </si>
  <si>
    <t>Hutchinson city, KS</t>
  </si>
  <si>
    <t>Hazard city, KY</t>
  </si>
  <si>
    <t>Little Falls city, MN</t>
  </si>
  <si>
    <t>Petoskey city, MI</t>
  </si>
  <si>
    <t>Kapaa CDP, HI</t>
  </si>
  <si>
    <t>Glasgow city, KY</t>
  </si>
  <si>
    <t>Campbellsville city, KY</t>
  </si>
  <si>
    <t>Salina city, KS</t>
  </si>
  <si>
    <t>Bardstown city, KY</t>
  </si>
  <si>
    <t>Rhinelander city, WI</t>
  </si>
  <si>
    <t>El Dorado city, AR</t>
  </si>
  <si>
    <t>Amery city, WI</t>
  </si>
  <si>
    <t>Mason City city, IA</t>
  </si>
  <si>
    <t>Antigo city, WI</t>
  </si>
  <si>
    <t>Newport city, OR</t>
  </si>
  <si>
    <t>Price city, UT</t>
  </si>
  <si>
    <t>Elko city, NV</t>
  </si>
  <si>
    <t>Decorah city, IA</t>
  </si>
  <si>
    <t>Troy city, AL</t>
  </si>
  <si>
    <t>Poplar Bluff city, MO</t>
  </si>
  <si>
    <t>Pampa city, TX</t>
  </si>
  <si>
    <t>Alpena city, MI</t>
  </si>
  <si>
    <t>Aberdeen city, SD</t>
  </si>
  <si>
    <t>Big Stone Gap town, VA</t>
  </si>
  <si>
    <t>Henderson city, NC</t>
  </si>
  <si>
    <t>Harrison city, AR</t>
  </si>
  <si>
    <t>Ada city, OK</t>
  </si>
  <si>
    <t>Ruston city, LA</t>
  </si>
  <si>
    <t>Dublin city, GA</t>
  </si>
  <si>
    <t>Bennettsville city, SC</t>
  </si>
  <si>
    <t>Presque Isle city, ME</t>
  </si>
  <si>
    <t>Sioux Center city, IA</t>
  </si>
  <si>
    <t>Scottsbluff city, NE</t>
  </si>
  <si>
    <t>City of the Dalles city, OR</t>
  </si>
  <si>
    <t>Kearney city, NE</t>
  </si>
  <si>
    <t>Spencer city, IA</t>
  </si>
  <si>
    <t>Barnwell city, SC</t>
  </si>
  <si>
    <t>New Albany city, MS</t>
  </si>
  <si>
    <t>Thomasville city, GA</t>
  </si>
  <si>
    <t>Columbus city, NE</t>
  </si>
  <si>
    <t>Mountain Home city, AR</t>
  </si>
  <si>
    <t>Ontario city, OR</t>
  </si>
  <si>
    <t>Brownwood city, TX</t>
  </si>
  <si>
    <t>Norfolk city, NE</t>
  </si>
  <si>
    <t>Colonial Beach town, VA</t>
  </si>
  <si>
    <t>Andrews town, NC</t>
  </si>
  <si>
    <t>Elk City city, OK</t>
  </si>
  <si>
    <t>Emporia city, KS</t>
  </si>
  <si>
    <t>Worthington city, MN</t>
  </si>
  <si>
    <t>Elkins city, WV</t>
  </si>
  <si>
    <t>Galax city, VA</t>
  </si>
  <si>
    <t>Vincennes city, IN</t>
  </si>
  <si>
    <t>Vicksburg city, MS</t>
  </si>
  <si>
    <t>Brookings city, SD</t>
  </si>
  <si>
    <t>Cullowhee CDP, NC</t>
  </si>
  <si>
    <t>Gillette city, WY</t>
  </si>
  <si>
    <t>Americus city, GA</t>
  </si>
  <si>
    <t>Greenwood city, MS</t>
  </si>
  <si>
    <t>Batesville city, AR</t>
  </si>
  <si>
    <t>Watertown city, SD</t>
  </si>
  <si>
    <t>Sault Ste. Marie city, MI</t>
  </si>
  <si>
    <t>Sheridan city, WY</t>
  </si>
  <si>
    <t>Blue Ridge city, GA</t>
  </si>
  <si>
    <t>Ludington city, MI</t>
  </si>
  <si>
    <t>Carroll city, IA</t>
  </si>
  <si>
    <t>Garden City city, KS</t>
  </si>
  <si>
    <t>Lexington city, NE</t>
  </si>
  <si>
    <t>Burley city, ID</t>
  </si>
  <si>
    <t>Maysville city, KY</t>
  </si>
  <si>
    <t>Moberly city, MO</t>
  </si>
  <si>
    <t>Yankton city, SD</t>
  </si>
  <si>
    <t>Marble Falls city, TX</t>
  </si>
  <si>
    <t>Marshall city, MO</t>
  </si>
  <si>
    <t>Madison city, IN</t>
  </si>
  <si>
    <t>Vernal city, UT</t>
  </si>
  <si>
    <t>Marshall city, MN</t>
  </si>
  <si>
    <t>Olney city, IL</t>
  </si>
  <si>
    <t>Hastings city, NE</t>
  </si>
  <si>
    <t>Middlesborough city, KY</t>
  </si>
  <si>
    <t>Eagle Pass city, TX</t>
  </si>
  <si>
    <t>Riverton city, WY</t>
  </si>
  <si>
    <t>Big Spring city, TX</t>
  </si>
  <si>
    <t>Altus city, OK</t>
  </si>
  <si>
    <t>Arkansas City city, KS</t>
  </si>
  <si>
    <t>Craig city, CO</t>
  </si>
  <si>
    <t>Ottawa city, KS</t>
  </si>
  <si>
    <t>Summersville town, WV</t>
  </si>
  <si>
    <t>Dickinson city, ND</t>
  </si>
  <si>
    <t>Atmore city, AL</t>
  </si>
  <si>
    <t>Ashland city, WI</t>
  </si>
  <si>
    <t>Stephenville city, TX</t>
  </si>
  <si>
    <t>Chincoteague town, VA</t>
  </si>
  <si>
    <t>Eufaula city, AL</t>
  </si>
  <si>
    <t>Mora city, MN</t>
  </si>
  <si>
    <t>Del Rio city, TX</t>
  </si>
  <si>
    <t>Cortez city, CO</t>
  </si>
  <si>
    <t>Cody city, WY</t>
  </si>
  <si>
    <t>Great Bend city, KS</t>
  </si>
  <si>
    <t>Las Vegas city, NM</t>
  </si>
  <si>
    <t>Laramie city, WY</t>
  </si>
  <si>
    <t>Natchez city, MS</t>
  </si>
  <si>
    <t>Heber Springs city, AR</t>
  </si>
  <si>
    <t>Hays city, KS</t>
  </si>
  <si>
    <t>Nebraska City city, NE</t>
  </si>
  <si>
    <t>Storm Lake city, IA</t>
  </si>
  <si>
    <t>Fairmont city, MN</t>
  </si>
  <si>
    <t>Deming city, NM</t>
  </si>
  <si>
    <t>Red Oak city, IA</t>
  </si>
  <si>
    <t>Sterling city, CO</t>
  </si>
  <si>
    <t>Franklin town, NC</t>
  </si>
  <si>
    <t>Jamestown city, ND</t>
  </si>
  <si>
    <t>Alamosa city, CO</t>
  </si>
  <si>
    <t>Beeville city, TX</t>
  </si>
  <si>
    <t>Plainview city, TX</t>
  </si>
  <si>
    <t>La Grande city, OR</t>
  </si>
  <si>
    <t>Demopolis city, AL</t>
  </si>
  <si>
    <t>Dodge City city, KS</t>
  </si>
  <si>
    <t>Nevada city, MO</t>
  </si>
  <si>
    <t>Brookings city, OR</t>
  </si>
  <si>
    <t>La Grange city, TX</t>
  </si>
  <si>
    <t>Houghton city, MI</t>
  </si>
  <si>
    <t>Kirksville city, MO</t>
  </si>
  <si>
    <t>Safford city, AZ</t>
  </si>
  <si>
    <t>Lexington city, TN</t>
  </si>
  <si>
    <t>Mount Sterling city, KY</t>
  </si>
  <si>
    <t>Buckhannon city, WV</t>
  </si>
  <si>
    <t>Redwood Falls city, MN</t>
  </si>
  <si>
    <t>Welch city, WV</t>
  </si>
  <si>
    <t>Dumas city, TX</t>
  </si>
  <si>
    <t>Jackson city, KY</t>
  </si>
  <si>
    <t>Creston city, IA</t>
  </si>
  <si>
    <t>North Platte city, NE</t>
  </si>
  <si>
    <t>St. Marys borough, PA</t>
  </si>
  <si>
    <t>Bainbridge city, GA</t>
  </si>
  <si>
    <t>Washington city, GA</t>
  </si>
  <si>
    <t>Okmulgee city, OK</t>
  </si>
  <si>
    <t>Thief River Falls city, MN</t>
  </si>
  <si>
    <t>Cordele city, GA</t>
  </si>
  <si>
    <t>Pecos city, TX</t>
  </si>
  <si>
    <t>Brookhaven city, MS</t>
  </si>
  <si>
    <t>Centerville city, IA</t>
  </si>
  <si>
    <t>Stuttgart city, AR</t>
  </si>
  <si>
    <t>Uvalde city, TX</t>
  </si>
  <si>
    <t>Mitchell city, SD</t>
  </si>
  <si>
    <t>Liberal city, KS</t>
  </si>
  <si>
    <t>Murray city, KY</t>
  </si>
  <si>
    <t>Richfield city, UT</t>
  </si>
  <si>
    <t>Atlantic city, IA</t>
  </si>
  <si>
    <t>Harrisburg city, IL</t>
  </si>
  <si>
    <t>Maryville city, MO</t>
  </si>
  <si>
    <t>Williston city, ND</t>
  </si>
  <si>
    <t>Graham city, TX</t>
  </si>
  <si>
    <t>Calais city, ME</t>
  </si>
  <si>
    <t>Jackson town, WY</t>
  </si>
  <si>
    <t>Grafton city, ND</t>
  </si>
  <si>
    <t>Magnolia city, AR</t>
  </si>
  <si>
    <t>Kosciusko city, MS</t>
  </si>
  <si>
    <t>Winnemucca city, NV</t>
  </si>
  <si>
    <t>Mammoth Lakes town, CA</t>
  </si>
  <si>
    <t>Havre city, MT</t>
  </si>
  <si>
    <t>York city, NE</t>
  </si>
  <si>
    <t>Torrington town, WY</t>
  </si>
  <si>
    <t>West Point city, NE</t>
  </si>
  <si>
    <t>Woodward city, OK</t>
  </si>
  <si>
    <t>Cut Bank city, MT</t>
  </si>
  <si>
    <t>Mexico city, MO</t>
  </si>
  <si>
    <t>Parkston city, SD</t>
  </si>
  <si>
    <t>Snyder city, TX</t>
  </si>
  <si>
    <t>Guymon city, OK</t>
  </si>
  <si>
    <t>Ironwood city, MI</t>
  </si>
  <si>
    <t>Pierre city, SD</t>
  </si>
  <si>
    <t>Concordia city, KS</t>
  </si>
  <si>
    <t>Brady city, TX</t>
  </si>
  <si>
    <t>Fitzgerald city, GA</t>
  </si>
  <si>
    <t>Iowa Falls city, IA</t>
  </si>
  <si>
    <t>Yazoo City city, MS</t>
  </si>
  <si>
    <t>Crystal City city, TX</t>
  </si>
  <si>
    <t>Gunnison city, CO</t>
  </si>
  <si>
    <t>Vernon city, TX</t>
  </si>
  <si>
    <t>Devils Lake city, ND</t>
  </si>
  <si>
    <t>Trinidad city, CO</t>
  </si>
  <si>
    <t>Spencer city, WV</t>
  </si>
  <si>
    <t>McCook city, NE</t>
  </si>
  <si>
    <t>Many town, LA</t>
  </si>
  <si>
    <t>Hiawatha city, KS</t>
  </si>
  <si>
    <t>Jonesville town, LA</t>
  </si>
  <si>
    <t>Alpine city, TX</t>
  </si>
  <si>
    <t>Colby city, KS</t>
  </si>
  <si>
    <t>Littlefield city, TX</t>
  </si>
  <si>
    <t>Roseau city, MN</t>
  </si>
  <si>
    <t>Perryton city, TX</t>
  </si>
  <si>
    <t>Sisseton city, SD</t>
  </si>
  <si>
    <t>Pearsall city, TX</t>
  </si>
  <si>
    <t>Huron city, SD</t>
  </si>
  <si>
    <t>Quincy-East Quincy CDP, CA</t>
  </si>
  <si>
    <t>Crossett city, AR</t>
  </si>
  <si>
    <t>Rawlins city, WY</t>
  </si>
  <si>
    <t>Pratt city, KS</t>
  </si>
  <si>
    <t>Libby city, MT</t>
  </si>
  <si>
    <t>Fort Stockton city, TX</t>
  </si>
  <si>
    <t>Pine Ridge CDP, SD</t>
  </si>
  <si>
    <t>Kremmling town, CO</t>
  </si>
  <si>
    <t>Lake Providence town, LA</t>
  </si>
  <si>
    <t>Salmon city, ID</t>
  </si>
  <si>
    <t>Bethany city, MO</t>
  </si>
  <si>
    <t>Lisbon city, ND</t>
  </si>
  <si>
    <t>Socorro city, NM</t>
  </si>
  <si>
    <t>Friday Harbor town, WA</t>
  </si>
  <si>
    <t>Ulysses city, KS</t>
  </si>
  <si>
    <t>Sweetwater city, TX</t>
  </si>
  <si>
    <t>Gonzales city, TX</t>
  </si>
  <si>
    <t>Vineyard Haven CDP, MA</t>
  </si>
  <si>
    <t>Brookfield city, MO</t>
  </si>
  <si>
    <t>Marysville city, KS</t>
  </si>
  <si>
    <t>O'Neill city, NE</t>
  </si>
  <si>
    <t>Broken Bow city, NE</t>
  </si>
  <si>
    <t>Salida city, CO</t>
  </si>
  <si>
    <t>Trenton city, MO</t>
  </si>
  <si>
    <t>Ogallala city, NE</t>
  </si>
  <si>
    <t>Belcourt CDP, ND</t>
  </si>
  <si>
    <t>Worland city, WY</t>
  </si>
  <si>
    <t>Ord city, NE</t>
  </si>
  <si>
    <t>Madison city, SD</t>
  </si>
  <si>
    <t>International Falls city, MN</t>
  </si>
  <si>
    <t>Milbank city, SD</t>
  </si>
  <si>
    <t>Wolf Point city, MT</t>
  </si>
  <si>
    <t>Miles City city, MT</t>
  </si>
  <si>
    <t>Colstrip CDP, MT</t>
  </si>
  <si>
    <t>Soda Springs city, ID</t>
  </si>
  <si>
    <t>Lewistown city, MT</t>
  </si>
  <si>
    <t>Phillipsburg city, KS</t>
  </si>
  <si>
    <t>Truth or Consequences city, NM</t>
  </si>
  <si>
    <t>Goodland city, KS</t>
  </si>
  <si>
    <t>Glasgow city, MT</t>
  </si>
  <si>
    <t>Plainville city, KS</t>
  </si>
  <si>
    <t>Tucumcari city, NM</t>
  </si>
  <si>
    <t>Memphis city, TX</t>
  </si>
  <si>
    <t>Burlington city, CO</t>
  </si>
  <si>
    <t>Unionville city, MO</t>
  </si>
  <si>
    <t>Glendive city, MT</t>
  </si>
  <si>
    <t>Scott City city, KS</t>
  </si>
  <si>
    <t>Moab city, UT</t>
  </si>
  <si>
    <t>John Day city, OR</t>
  </si>
  <si>
    <t>Bonners Ferry city, ID</t>
  </si>
  <si>
    <t>Rosebud CDP, SD</t>
  </si>
  <si>
    <t>Oberlin city, KS</t>
  </si>
  <si>
    <t>Burns city, OR</t>
  </si>
  <si>
    <t>Chamberlain city, SD</t>
  </si>
  <si>
    <t>McCall city, ID</t>
  </si>
  <si>
    <t>Enterprise city, OR</t>
  </si>
  <si>
    <t>Winner city, SD</t>
  </si>
  <si>
    <t>Lakeview town, OR</t>
  </si>
  <si>
    <t>Ainsworth city, NE</t>
  </si>
  <si>
    <t>Junction city, TX</t>
  </si>
  <si>
    <t>Norton city, KS</t>
  </si>
  <si>
    <t>Valentine city, NE</t>
  </si>
  <si>
    <t>Sidney city, MT</t>
  </si>
  <si>
    <t>Linton city, ND</t>
  </si>
  <si>
    <t>North Eagle Butte CDP, SD</t>
  </si>
  <si>
    <t>Nantucket CDP, MA</t>
  </si>
  <si>
    <t>Mobridge city, SD</t>
  </si>
  <si>
    <t>Carrington city, ND</t>
  </si>
  <si>
    <t>Stamford city, TX</t>
  </si>
  <si>
    <t>Beloit city, KS</t>
  </si>
  <si>
    <t>Philip city, SD</t>
  </si>
  <si>
    <t>Grand Marais city, MN</t>
  </si>
  <si>
    <t>max</t>
  </si>
  <si>
    <t>min</t>
  </si>
  <si>
    <t>mean</t>
  </si>
  <si>
    <t>Washington, DC</t>
  </si>
  <si>
    <t>Key</t>
  </si>
  <si>
    <t>Main tables</t>
  </si>
  <si>
    <t>Appendix tables</t>
  </si>
  <si>
    <t>Peach tabs, AT1-AT7</t>
  </si>
  <si>
    <t>Un-colored tabs, T1-T11</t>
  </si>
  <si>
    <t>Disclosed results from Census Bureau, numbered by disclosure number and tab</t>
  </si>
  <si>
    <t>Grey tabs (16; only results used in tables are included here)</t>
  </si>
  <si>
    <t>Output of postdisclosure programs</t>
  </si>
  <si>
    <t>Blue tabs (5, named to correspond to output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</si>
</sst>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_(* \(#,##0.00\);_(* &quot;-&quot;??_);_(@_)"/>
    <numFmt numFmtId="164" formatCode="0.00_);\(0.00\)"/>
    <numFmt numFmtId="165" formatCode="0.0"/>
    <numFmt numFmtId="166" formatCode="0.0_);\(0.0\)"/>
    <numFmt numFmtId="167" formatCode="0_);\(0\)"/>
    <numFmt numFmtId="168" formatCode="0.000"/>
    <numFmt numFmtId="169" formatCode="0.000_);\(0.000\)"/>
    <numFmt numFmtId="170" formatCode="0.0000"/>
    <numFmt numFmtId="171" formatCode="0.0000_);\(0.0000\)"/>
    <numFmt numFmtId="172" formatCode="#,##0.000_);\(#,##0.000\)"/>
    <numFmt numFmtId="173" formatCode="0.0%"/>
    <numFmt numFmtId="174" formatCode="\[0.000\]"/>
    <numFmt numFmtId="175" formatCode="\(0.000\);\(0.000\)"/>
    <numFmt numFmtId="176" formatCode="\(0.00\);\(0.00\)"/>
    <numFmt numFmtId="177" formatCode="\(0\);\(0\)"/>
    <numFmt numFmtId="178" formatCode="_(* #,##0.000_);_(* \(#,##0.000\);_(* &quot;-&quot;??_);_(@_)"/>
  </numFmts>
  <fonts count="2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i/>
      <u/>
      <sz val="12"/>
      <color theme="1"/>
      <name val="Calibri"/>
      <family val="2"/>
      <scheme val="minor"/>
    </font>
    <font>
      <sz val="14"/>
      <color theme="1"/>
      <name val="Calibri"/>
      <family val="2"/>
      <scheme val="minor"/>
    </font>
    <font>
      <sz val="13"/>
      <color theme="1"/>
      <name val="Calibri"/>
      <family val="2"/>
      <scheme val="minor"/>
    </font>
    <font>
      <sz val="11"/>
      <color theme="1"/>
      <name val="Calibri"/>
      <family val="2"/>
      <scheme val="minor"/>
    </font>
    <font>
      <sz val="11"/>
      <name val="Calibri"/>
      <family val="2"/>
      <charset val="1"/>
    </font>
    <font>
      <sz val="11"/>
      <name val="Calibri"/>
      <family val="2"/>
    </font>
    <font>
      <sz val="11"/>
      <name val="Calibri"/>
      <family val="2"/>
    </font>
    <font>
      <sz val="11"/>
      <color theme="0" tint="-0.49995422223578601"/>
      <name val="Calibri"/>
      <family val="2"/>
    </font>
    <font>
      <b/>
      <sz val="12"/>
      <color theme="1"/>
      <name val="Calibri"/>
      <family val="2"/>
      <scheme val="minor"/>
    </font>
    <font>
      <sz val="12"/>
      <color theme="1"/>
      <name val="Calibri (Body)"/>
    </font>
    <font>
      <vertAlign val="subscript"/>
      <sz val="12"/>
      <color theme="1"/>
      <name val="Calibri (Body)"/>
    </font>
    <font>
      <u/>
      <sz val="12"/>
      <color theme="1"/>
      <name val="Calibri (Body)"/>
    </font>
    <font>
      <sz val="12"/>
      <name val="Calibri (Body)"/>
    </font>
    <font>
      <u/>
      <sz val="12"/>
      <name val="Calibri (Body)"/>
    </font>
    <font>
      <vertAlign val="superscript"/>
      <sz val="12"/>
      <name val="Calibri (Body)"/>
    </font>
    <font>
      <sz val="12"/>
      <name val="Calibri"/>
      <family val="2"/>
      <scheme val="minor"/>
    </font>
    <font>
      <i/>
      <sz val="12"/>
      <color theme="1"/>
      <name val="Calibri"/>
      <family val="2"/>
      <scheme val="minor"/>
    </font>
    <font>
      <b/>
      <i/>
      <sz val="12"/>
      <color theme="1"/>
      <name val="Calibri"/>
      <family val="2"/>
      <scheme val="minor"/>
    </font>
    <font>
      <b/>
      <i/>
      <sz val="13"/>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theme="2" tint="-0.249977111117893"/>
        <bgColor indexed="64"/>
      </patternFill>
    </fill>
    <fill>
      <patternFill patternType="solid">
        <fgColor theme="5" tint="0.79998168889431442"/>
        <bgColor indexed="64"/>
      </patternFill>
    </fill>
  </fills>
  <borders count="4">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s>
  <cellStyleXfs count="8">
    <xf numFmtId="0" fontId="0" fillId="0" borderId="0"/>
    <xf numFmtId="43" fontId="8" fillId="0" borderId="0" applyFont="0" applyFill="0" applyBorder="0" applyAlignment="0" applyProtection="0"/>
    <xf numFmtId="9" fontId="12" fillId="0" borderId="0" applyFont="0" applyFill="0" applyBorder="0" applyAlignment="0" applyProtection="0"/>
    <xf numFmtId="0" fontId="13" fillId="0" borderId="0"/>
    <xf numFmtId="0" fontId="15" fillId="0" borderId="0"/>
    <xf numFmtId="0" fontId="14" fillId="0" borderId="0"/>
    <xf numFmtId="0" fontId="2" fillId="0" borderId="0"/>
    <xf numFmtId="0" fontId="1" fillId="0" borderId="0"/>
  </cellStyleXfs>
  <cellXfs count="277">
    <xf numFmtId="0" fontId="0" fillId="0" borderId="0" xfId="0"/>
    <xf numFmtId="0" fontId="0" fillId="0" borderId="0" xfId="0" applyAlignment="1">
      <alignment horizontal="center"/>
    </xf>
    <xf numFmtId="0" fontId="9" fillId="0" borderId="0" xfId="0" applyFont="1"/>
    <xf numFmtId="0" fontId="10" fillId="0" borderId="0" xfId="0" applyFont="1"/>
    <xf numFmtId="0" fontId="11" fillId="0" borderId="0" xfId="0" applyFont="1"/>
    <xf numFmtId="0" fontId="11" fillId="0" borderId="2" xfId="0" applyFont="1" applyBorder="1" applyAlignment="1">
      <alignment horizontal="center" wrapText="1"/>
    </xf>
    <xf numFmtId="0" fontId="11" fillId="0" borderId="2" xfId="0" applyFont="1" applyBorder="1" applyAlignment="1">
      <alignment horizontal="left" vertical="center" wrapText="1"/>
    </xf>
    <xf numFmtId="0" fontId="11" fillId="0" borderId="0" xfId="0" applyFont="1" applyAlignment="1">
      <alignment horizontal="center" vertical="top" wrapText="1"/>
    </xf>
    <xf numFmtId="0" fontId="11" fillId="0" borderId="0" xfId="0" applyFont="1" applyAlignment="1">
      <alignment horizontal="center" wrapText="1"/>
    </xf>
    <xf numFmtId="0" fontId="11" fillId="0" borderId="0" xfId="0" applyFont="1" applyAlignment="1">
      <alignment horizontal="left" vertical="center" wrapText="1"/>
    </xf>
    <xf numFmtId="0" fontId="11" fillId="0" borderId="0" xfId="0" applyFont="1" applyAlignment="1">
      <alignment wrapText="1"/>
    </xf>
    <xf numFmtId="168" fontId="11" fillId="0" borderId="0" xfId="0" applyNumberFormat="1" applyFont="1" applyAlignment="1">
      <alignment horizontal="center" wrapText="1"/>
    </xf>
    <xf numFmtId="169" fontId="11" fillId="0" borderId="0" xfId="0" applyNumberFormat="1" applyFont="1" applyAlignment="1">
      <alignment horizontal="center" wrapText="1"/>
    </xf>
    <xf numFmtId="0" fontId="10" fillId="0" borderId="0" xfId="0" applyFont="1" applyAlignment="1">
      <alignment wrapText="1"/>
    </xf>
    <xf numFmtId="168" fontId="10" fillId="0" borderId="0" xfId="0" applyNumberFormat="1" applyFont="1" applyAlignment="1">
      <alignment horizontal="center" wrapText="1"/>
    </xf>
    <xf numFmtId="169" fontId="10" fillId="0" borderId="0" xfId="0" applyNumberFormat="1" applyFont="1" applyAlignment="1">
      <alignment horizontal="center" wrapText="1"/>
    </xf>
    <xf numFmtId="168" fontId="11" fillId="0" borderId="0" xfId="0" applyNumberFormat="1" applyFont="1"/>
    <xf numFmtId="0" fontId="11" fillId="0" borderId="0" xfId="0" quotePrefix="1" applyFont="1"/>
    <xf numFmtId="169" fontId="11" fillId="0" borderId="0" xfId="0" applyNumberFormat="1" applyFont="1"/>
    <xf numFmtId="9" fontId="10" fillId="0" borderId="0" xfId="2" applyFont="1" applyAlignment="1">
      <alignment horizontal="center" vertical="center"/>
    </xf>
    <xf numFmtId="0" fontId="13" fillId="0" borderId="0" xfId="3"/>
    <xf numFmtId="0" fontId="0" fillId="0" borderId="0" xfId="0" applyAlignment="1">
      <alignment vertical="top" wrapText="1"/>
    </xf>
    <xf numFmtId="0" fontId="11" fillId="0" borderId="2" xfId="0" applyFont="1" applyBorder="1"/>
    <xf numFmtId="0" fontId="15" fillId="0" borderId="0" xfId="4" applyAlignment="1">
      <alignment horizontal="center"/>
    </xf>
    <xf numFmtId="0" fontId="15" fillId="0" borderId="0" xfId="4"/>
    <xf numFmtId="0" fontId="14" fillId="0" borderId="0" xfId="4" applyFont="1" applyAlignment="1">
      <alignment horizontal="center"/>
    </xf>
    <xf numFmtId="0" fontId="14" fillId="0" borderId="0" xfId="4" applyFont="1"/>
    <xf numFmtId="0" fontId="16" fillId="0" borderId="0" xfId="4" applyFont="1"/>
    <xf numFmtId="0" fontId="0" fillId="0" borderId="1" xfId="0" applyBorder="1" applyAlignment="1">
      <alignment vertical="top" wrapText="1"/>
    </xf>
    <xf numFmtId="0" fontId="7" fillId="0" borderId="0" xfId="0" applyFont="1"/>
    <xf numFmtId="0" fontId="7" fillId="0" borderId="2" xfId="0" applyFont="1" applyBorder="1"/>
    <xf numFmtId="2" fontId="7" fillId="0" borderId="1" xfId="0" applyNumberFormat="1" applyFont="1" applyBorder="1"/>
    <xf numFmtId="0" fontId="7" fillId="0" borderId="0" xfId="0" applyFont="1" applyAlignment="1">
      <alignment horizontal="center"/>
    </xf>
    <xf numFmtId="2" fontId="7" fillId="0" borderId="1" xfId="0" applyNumberFormat="1" applyFont="1" applyBorder="1" applyAlignment="1">
      <alignment horizontal="center"/>
    </xf>
    <xf numFmtId="167" fontId="7" fillId="0" borderId="2" xfId="0" applyNumberFormat="1" applyFont="1" applyBorder="1" applyAlignment="1">
      <alignment horizontal="center"/>
    </xf>
    <xf numFmtId="2" fontId="7" fillId="0" borderId="0" xfId="0" applyNumberFormat="1" applyFont="1" applyAlignment="1">
      <alignment horizontal="center"/>
    </xf>
    <xf numFmtId="164" fontId="7" fillId="0" borderId="0" xfId="0" applyNumberFormat="1" applyFont="1" applyAlignment="1">
      <alignment horizontal="center"/>
    </xf>
    <xf numFmtId="165" fontId="7" fillId="0" borderId="0" xfId="0" applyNumberFormat="1" applyFont="1" applyAlignment="1">
      <alignment horizontal="center"/>
    </xf>
    <xf numFmtId="165" fontId="7" fillId="0" borderId="0" xfId="0" applyNumberFormat="1" applyFont="1"/>
    <xf numFmtId="1" fontId="7" fillId="0" borderId="0" xfId="0" applyNumberFormat="1" applyFont="1" applyAlignment="1">
      <alignment horizontal="center"/>
    </xf>
    <xf numFmtId="37" fontId="7" fillId="0" borderId="0" xfId="1" applyNumberFormat="1" applyFont="1" applyAlignment="1">
      <alignment horizontal="center"/>
    </xf>
    <xf numFmtId="37" fontId="7" fillId="0" borderId="2" xfId="1" applyNumberFormat="1" applyFont="1" applyBorder="1" applyAlignment="1">
      <alignment horizontal="center"/>
    </xf>
    <xf numFmtId="0" fontId="7" fillId="0" borderId="0" xfId="0" applyFont="1" applyAlignment="1">
      <alignment horizontal="center" wrapText="1"/>
    </xf>
    <xf numFmtId="0" fontId="11" fillId="0" borderId="0" xfId="0" applyFont="1" applyAlignment="1">
      <alignment vertical="top" wrapText="1"/>
    </xf>
    <xf numFmtId="0" fontId="7" fillId="0" borderId="2" xfId="0" applyFont="1" applyBorder="1" applyAlignment="1">
      <alignment horizontal="center" vertical="top" wrapText="1"/>
    </xf>
    <xf numFmtId="0" fontId="7" fillId="0" borderId="3" xfId="0" applyFont="1" applyBorder="1" applyAlignment="1">
      <alignment horizontal="center"/>
    </xf>
    <xf numFmtId="0" fontId="7" fillId="0" borderId="2" xfId="0" applyFont="1" applyBorder="1" applyAlignment="1">
      <alignment horizontal="center"/>
    </xf>
    <xf numFmtId="0" fontId="18" fillId="0" borderId="0" xfId="0" applyFont="1"/>
    <xf numFmtId="0" fontId="18" fillId="0" borderId="1" xfId="0" applyFont="1" applyBorder="1"/>
    <xf numFmtId="0" fontId="18" fillId="0" borderId="1" xfId="0" applyFont="1" applyBorder="1" applyAlignment="1">
      <alignment horizontal="center"/>
    </xf>
    <xf numFmtId="0" fontId="18" fillId="0" borderId="3" xfId="0" applyFont="1" applyBorder="1" applyAlignment="1">
      <alignment horizontal="center" wrapText="1"/>
    </xf>
    <xf numFmtId="0" fontId="18" fillId="0" borderId="1" xfId="0" applyFont="1" applyBorder="1" applyAlignment="1">
      <alignment horizontal="center" wrapText="1"/>
    </xf>
    <xf numFmtId="0" fontId="18" fillId="0" borderId="0" xfId="0" applyFont="1" applyAlignment="1">
      <alignment horizontal="center"/>
    </xf>
    <xf numFmtId="0" fontId="18" fillId="0" borderId="2" xfId="0" applyFont="1" applyBorder="1" applyAlignment="1">
      <alignment wrapText="1"/>
    </xf>
    <xf numFmtId="0" fontId="18" fillId="0" borderId="0" xfId="0" applyFont="1" applyAlignment="1">
      <alignment wrapText="1"/>
    </xf>
    <xf numFmtId="0" fontId="18" fillId="0" borderId="0" xfId="0" applyFont="1" applyAlignment="1">
      <alignment horizontal="center" wrapText="1"/>
    </xf>
    <xf numFmtId="0" fontId="18" fillId="0" borderId="2" xfId="0" applyFont="1" applyBorder="1"/>
    <xf numFmtId="0" fontId="18" fillId="0" borderId="2" xfId="0" quotePrefix="1" applyFont="1" applyBorder="1" applyAlignment="1">
      <alignment horizontal="center"/>
    </xf>
    <xf numFmtId="2" fontId="18" fillId="0" borderId="0" xfId="0" applyNumberFormat="1" applyFont="1" applyAlignment="1">
      <alignment horizontal="center"/>
    </xf>
    <xf numFmtId="164" fontId="18" fillId="0" borderId="0" xfId="0" applyNumberFormat="1" applyFont="1" applyAlignment="1">
      <alignment horizontal="center"/>
    </xf>
    <xf numFmtId="164" fontId="18" fillId="0" borderId="2" xfId="0" applyNumberFormat="1" applyFont="1" applyBorder="1" applyAlignment="1">
      <alignment horizontal="center"/>
    </xf>
    <xf numFmtId="2" fontId="18" fillId="0" borderId="0" xfId="0" applyNumberFormat="1" applyFont="1"/>
    <xf numFmtId="0" fontId="7" fillId="0" borderId="3" xfId="0" applyFont="1" applyBorder="1" applyAlignment="1">
      <alignment horizontal="center" vertical="top" wrapText="1"/>
    </xf>
    <xf numFmtId="0" fontId="7" fillId="0" borderId="2" xfId="0" applyFont="1" applyBorder="1" applyAlignment="1">
      <alignment horizontal="center" wrapText="1"/>
    </xf>
    <xf numFmtId="0" fontId="7" fillId="0" borderId="2" xfId="0" quotePrefix="1" applyFont="1" applyBorder="1" applyAlignment="1">
      <alignment horizontal="center" wrapText="1"/>
    </xf>
    <xf numFmtId="168" fontId="7" fillId="0" borderId="0" xfId="0" applyNumberFormat="1" applyFont="1" applyAlignment="1">
      <alignment horizontal="center" wrapText="1"/>
    </xf>
    <xf numFmtId="169" fontId="7" fillId="0" borderId="0" xfId="0" applyNumberFormat="1" applyFont="1" applyAlignment="1">
      <alignment horizontal="center" wrapText="1"/>
    </xf>
    <xf numFmtId="9" fontId="7" fillId="0" borderId="0" xfId="2" applyFont="1" applyAlignment="1">
      <alignment horizontal="center"/>
    </xf>
    <xf numFmtId="170" fontId="7" fillId="0" borderId="0" xfId="0" applyNumberFormat="1" applyFont="1" applyAlignment="1">
      <alignment horizontal="center" wrapText="1"/>
    </xf>
    <xf numFmtId="171" fontId="7" fillId="0" borderId="0" xfId="0" applyNumberFormat="1" applyFont="1" applyAlignment="1">
      <alignment horizontal="center" wrapText="1"/>
    </xf>
    <xf numFmtId="169" fontId="7" fillId="0" borderId="2" xfId="0" applyNumberFormat="1" applyFont="1" applyBorder="1" applyAlignment="1">
      <alignment horizontal="center" wrapText="1"/>
    </xf>
    <xf numFmtId="0" fontId="18" fillId="0" borderId="2" xfId="0" applyFont="1" applyBorder="1" applyAlignment="1">
      <alignment horizontal="center" vertical="top" wrapText="1"/>
    </xf>
    <xf numFmtId="0" fontId="18" fillId="0" borderId="2" xfId="0" applyFont="1" applyBorder="1" applyAlignment="1">
      <alignment horizontal="center" wrapText="1"/>
    </xf>
    <xf numFmtId="0" fontId="18" fillId="0" borderId="2" xfId="0" applyFont="1" applyBorder="1" applyAlignment="1">
      <alignment horizontal="left" vertical="center" wrapText="1"/>
    </xf>
    <xf numFmtId="0" fontId="18" fillId="0" borderId="0" xfId="0" applyFont="1" applyAlignment="1">
      <alignment horizontal="center" vertical="top" wrapText="1"/>
    </xf>
    <xf numFmtId="0" fontId="18" fillId="0" borderId="0" xfId="0" applyFont="1" applyAlignment="1">
      <alignment horizontal="left" vertical="center" wrapText="1"/>
    </xf>
    <xf numFmtId="0" fontId="18" fillId="0" borderId="3" xfId="0" applyFont="1" applyBorder="1" applyAlignment="1">
      <alignment horizontal="center" vertical="top" wrapText="1"/>
    </xf>
    <xf numFmtId="0" fontId="18" fillId="0" borderId="2" xfId="0" quotePrefix="1" applyFont="1" applyBorder="1" applyAlignment="1">
      <alignment horizontal="center" wrapText="1"/>
    </xf>
    <xf numFmtId="168" fontId="18" fillId="0" borderId="0" xfId="0" applyNumberFormat="1" applyFont="1" applyAlignment="1">
      <alignment horizontal="center" wrapText="1"/>
    </xf>
    <xf numFmtId="169" fontId="18" fillId="0" borderId="0" xfId="0" applyNumberFormat="1" applyFont="1" applyAlignment="1">
      <alignment horizontal="center" wrapText="1"/>
    </xf>
    <xf numFmtId="168" fontId="18" fillId="0" borderId="2" xfId="0" applyNumberFormat="1" applyFont="1" applyBorder="1" applyAlignment="1">
      <alignment horizontal="center" wrapText="1"/>
    </xf>
    <xf numFmtId="0" fontId="18" fillId="0" borderId="2" xfId="0" applyFont="1" applyBorder="1" applyAlignment="1">
      <alignment horizontal="center"/>
    </xf>
    <xf numFmtId="169" fontId="18" fillId="0" borderId="2" xfId="0" applyNumberFormat="1" applyFont="1" applyBorder="1" applyAlignment="1">
      <alignment horizontal="center" wrapText="1"/>
    </xf>
    <xf numFmtId="0" fontId="18" fillId="0" borderId="1" xfId="0" applyFont="1" applyBorder="1" applyAlignment="1">
      <alignment horizontal="center" vertical="top" wrapText="1"/>
    </xf>
    <xf numFmtId="0" fontId="18" fillId="0" borderId="0" xfId="0" quotePrefix="1" applyFont="1" applyAlignment="1">
      <alignment horizontal="center" wrapText="1"/>
    </xf>
    <xf numFmtId="0" fontId="20" fillId="0" borderId="0" xfId="0" applyFont="1"/>
    <xf numFmtId="171" fontId="18" fillId="0" borderId="0" xfId="0" applyNumberFormat="1" applyFont="1" applyAlignment="1">
      <alignment horizontal="center" wrapText="1"/>
    </xf>
    <xf numFmtId="2" fontId="18" fillId="0" borderId="0" xfId="0" applyNumberFormat="1" applyFont="1" applyAlignment="1">
      <alignment horizontal="center" wrapText="1"/>
    </xf>
    <xf numFmtId="164" fontId="18" fillId="0" borderId="0" xfId="0" applyNumberFormat="1" applyFont="1" applyAlignment="1">
      <alignment horizontal="center" wrapText="1"/>
    </xf>
    <xf numFmtId="168" fontId="18" fillId="0" borderId="0" xfId="0" applyNumberFormat="1" applyFont="1" applyAlignment="1">
      <alignment horizontal="center"/>
    </xf>
    <xf numFmtId="170" fontId="18" fillId="0" borderId="0" xfId="0" applyNumberFormat="1" applyFont="1" applyAlignment="1">
      <alignment horizontal="center" wrapText="1"/>
    </xf>
    <xf numFmtId="169" fontId="18" fillId="0" borderId="0" xfId="0" applyNumberFormat="1" applyFont="1" applyAlignment="1">
      <alignment horizontal="center"/>
    </xf>
    <xf numFmtId="0" fontId="21" fillId="0" borderId="0" xfId="3" applyFont="1"/>
    <xf numFmtId="0" fontId="21" fillId="0" borderId="2" xfId="3" applyFont="1" applyBorder="1"/>
    <xf numFmtId="37" fontId="21" fillId="0" borderId="2" xfId="3" applyNumberFormat="1" applyFont="1" applyBorder="1" applyAlignment="1">
      <alignment horizontal="center"/>
    </xf>
    <xf numFmtId="0" fontId="22" fillId="0" borderId="0" xfId="3" applyFont="1"/>
    <xf numFmtId="0" fontId="21" fillId="0" borderId="0" xfId="3" applyFont="1" applyAlignment="1">
      <alignment horizontal="center"/>
    </xf>
    <xf numFmtId="172" fontId="21" fillId="0" borderId="0" xfId="3" applyNumberFormat="1" applyFont="1" applyAlignment="1">
      <alignment horizontal="center"/>
    </xf>
    <xf numFmtId="168" fontId="21" fillId="0" borderId="0" xfId="3" applyNumberFormat="1" applyFont="1" applyAlignment="1">
      <alignment horizontal="center"/>
    </xf>
    <xf numFmtId="39" fontId="21" fillId="0" borderId="0" xfId="3" applyNumberFormat="1" applyFont="1" applyAlignment="1">
      <alignment horizontal="center"/>
    </xf>
    <xf numFmtId="168" fontId="21" fillId="0" borderId="2" xfId="3" applyNumberFormat="1" applyFont="1" applyBorder="1" applyAlignment="1">
      <alignment horizontal="center"/>
    </xf>
    <xf numFmtId="0" fontId="21" fillId="0" borderId="2" xfId="3" applyFont="1" applyBorder="1" applyAlignment="1">
      <alignment horizontal="center"/>
    </xf>
    <xf numFmtId="0" fontId="21" fillId="0" borderId="3" xfId="3" applyFont="1" applyBorder="1" applyAlignment="1">
      <alignment horizontal="center" vertical="top" wrapText="1"/>
    </xf>
    <xf numFmtId="0" fontId="21" fillId="0" borderId="1" xfId="3" applyFont="1" applyBorder="1" applyAlignment="1">
      <alignment vertical="top" wrapText="1"/>
    </xf>
    <xf numFmtId="0" fontId="21" fillId="0" borderId="1" xfId="3" applyFont="1" applyBorder="1" applyAlignment="1">
      <alignment horizontal="center" vertical="top" wrapText="1"/>
    </xf>
    <xf numFmtId="0" fontId="7" fillId="0" borderId="0" xfId="0" applyFont="1" applyAlignment="1">
      <alignment wrapText="1"/>
    </xf>
    <xf numFmtId="0" fontId="7" fillId="0" borderId="0" xfId="0" applyFont="1" applyAlignment="1">
      <alignment horizontal="center" vertical="top" wrapText="1"/>
    </xf>
    <xf numFmtId="0" fontId="7" fillId="0" borderId="3" xfId="0" applyFont="1" applyBorder="1" applyAlignment="1">
      <alignment horizontal="center" wrapText="1"/>
    </xf>
    <xf numFmtId="168" fontId="7" fillId="0" borderId="0" xfId="0" quotePrefix="1" applyNumberFormat="1" applyFont="1" applyAlignment="1">
      <alignment horizontal="center" wrapText="1"/>
    </xf>
    <xf numFmtId="0" fontId="7" fillId="0" borderId="2" xfId="0" applyFont="1" applyBorder="1" applyAlignment="1">
      <alignment wrapText="1"/>
    </xf>
    <xf numFmtId="168" fontId="7" fillId="0" borderId="2" xfId="0" applyNumberFormat="1" applyFont="1" applyBorder="1" applyAlignment="1">
      <alignment horizontal="center" wrapText="1"/>
    </xf>
    <xf numFmtId="169" fontId="24" fillId="0" borderId="0" xfId="0" applyNumberFormat="1" applyFont="1" applyAlignment="1">
      <alignment horizontal="center" wrapText="1"/>
    </xf>
    <xf numFmtId="0" fontId="9" fillId="0" borderId="0" xfId="0" applyFont="1" applyAlignment="1">
      <alignment wrapText="1"/>
    </xf>
    <xf numFmtId="168" fontId="24" fillId="0" borderId="0" xfId="0" applyNumberFormat="1" applyFont="1" applyAlignment="1">
      <alignment horizontal="center" wrapText="1"/>
    </xf>
    <xf numFmtId="168" fontId="7" fillId="0" borderId="0" xfId="0" applyNumberFormat="1" applyFont="1" applyAlignment="1">
      <alignment horizontal="center"/>
    </xf>
    <xf numFmtId="169" fontId="24" fillId="0" borderId="2" xfId="0" applyNumberFormat="1" applyFont="1" applyBorder="1" applyAlignment="1">
      <alignment horizontal="center" wrapText="1"/>
    </xf>
    <xf numFmtId="9" fontId="7" fillId="0" borderId="0" xfId="2" applyFont="1" applyAlignment="1">
      <alignment horizontal="center" vertical="center"/>
    </xf>
    <xf numFmtId="0" fontId="7" fillId="0" borderId="1" xfId="0" applyFont="1" applyBorder="1"/>
    <xf numFmtId="9" fontId="18" fillId="0" borderId="0" xfId="2" applyFont="1" applyAlignment="1">
      <alignment horizontal="center" wrapText="1"/>
    </xf>
    <xf numFmtId="173" fontId="18" fillId="0" borderId="0" xfId="2" applyNumberFormat="1" applyFont="1" applyAlignment="1">
      <alignment horizontal="center" wrapText="1"/>
    </xf>
    <xf numFmtId="173" fontId="18" fillId="0" borderId="2" xfId="2" applyNumberFormat="1" applyFont="1" applyBorder="1" applyAlignment="1">
      <alignment horizontal="center" wrapText="1"/>
    </xf>
    <xf numFmtId="9" fontId="24" fillId="0" borderId="0" xfId="0" quotePrefix="1" applyNumberFormat="1" applyFont="1" applyAlignment="1">
      <alignment horizontal="center" wrapText="1"/>
    </xf>
    <xf numFmtId="9" fontId="24" fillId="0" borderId="0" xfId="0" applyNumberFormat="1" applyFont="1" applyAlignment="1">
      <alignment horizontal="center" wrapText="1"/>
    </xf>
    <xf numFmtId="9" fontId="7" fillId="0" borderId="0" xfId="0" applyNumberFormat="1" applyFont="1"/>
    <xf numFmtId="0" fontId="25" fillId="0" borderId="0" xfId="0" applyFont="1" applyAlignment="1">
      <alignment horizontal="left"/>
    </xf>
    <xf numFmtId="168" fontId="24" fillId="0" borderId="2" xfId="0" quotePrefix="1" applyNumberFormat="1" applyFont="1" applyBorder="1" applyAlignment="1">
      <alignment horizontal="center" wrapText="1"/>
    </xf>
    <xf numFmtId="9" fontId="24" fillId="0" borderId="2" xfId="0" applyNumberFormat="1" applyFont="1" applyBorder="1" applyAlignment="1">
      <alignment horizontal="center" wrapText="1"/>
    </xf>
    <xf numFmtId="0" fontId="9" fillId="0" borderId="0" xfId="0" applyFont="1" applyAlignment="1">
      <alignment horizontal="left"/>
    </xf>
    <xf numFmtId="0" fontId="7" fillId="0" borderId="2" xfId="0" quotePrefix="1" applyFont="1" applyBorder="1" applyAlignment="1">
      <alignment horizontal="center"/>
    </xf>
    <xf numFmtId="0" fontId="26" fillId="0" borderId="0" xfId="0" applyFont="1"/>
    <xf numFmtId="0" fontId="14" fillId="0" borderId="0" xfId="5"/>
    <xf numFmtId="0" fontId="7" fillId="0" borderId="0" xfId="0" applyFont="1" applyAlignment="1">
      <alignment horizontal="left" vertical="top" wrapText="1"/>
    </xf>
    <xf numFmtId="0" fontId="6" fillId="0" borderId="3" xfId="0" applyFont="1" applyBorder="1" applyAlignment="1">
      <alignment horizontal="center" vertical="top" wrapText="1"/>
    </xf>
    <xf numFmtId="0" fontId="6" fillId="0" borderId="0" xfId="0" applyFont="1" applyAlignment="1">
      <alignment vertical="top" wrapText="1"/>
    </xf>
    <xf numFmtId="1" fontId="0" fillId="0" borderId="0" xfId="0" applyNumberFormat="1"/>
    <xf numFmtId="168" fontId="0" fillId="0" borderId="0" xfId="0" applyNumberFormat="1"/>
    <xf numFmtId="0" fontId="0" fillId="0" borderId="2" xfId="0" applyBorder="1" applyAlignment="1">
      <alignment horizontal="right" wrapText="1"/>
    </xf>
    <xf numFmtId="0" fontId="0" fillId="0" borderId="2" xfId="0" applyBorder="1" applyAlignment="1">
      <alignment wrapText="1"/>
    </xf>
    <xf numFmtId="0" fontId="0" fillId="0" borderId="2" xfId="0" applyBorder="1" applyAlignment="1">
      <alignment horizontal="right"/>
    </xf>
    <xf numFmtId="0" fontId="0" fillId="0" borderId="2" xfId="0" applyBorder="1"/>
    <xf numFmtId="1" fontId="0" fillId="0" borderId="2" xfId="0" applyNumberFormat="1" applyBorder="1"/>
    <xf numFmtId="0" fontId="18" fillId="0" borderId="1" xfId="0" applyFont="1" applyBorder="1" applyAlignment="1">
      <alignment wrapText="1"/>
    </xf>
    <xf numFmtId="0" fontId="6" fillId="0" borderId="3" xfId="0" applyFont="1" applyBorder="1" applyAlignment="1">
      <alignment horizontal="center" wrapText="1"/>
    </xf>
    <xf numFmtId="0" fontId="7" fillId="0" borderId="0" xfId="0" applyFont="1" applyAlignment="1">
      <alignment vertical="top"/>
    </xf>
    <xf numFmtId="166" fontId="7" fillId="0" borderId="0" xfId="0" applyNumberFormat="1" applyFont="1" applyAlignment="1">
      <alignment horizontal="center" vertical="top"/>
    </xf>
    <xf numFmtId="166" fontId="7" fillId="0" borderId="0" xfId="0" applyNumberFormat="1" applyFont="1" applyAlignment="1">
      <alignment vertical="top"/>
    </xf>
    <xf numFmtId="0" fontId="6" fillId="0" borderId="0" xfId="0" applyFont="1"/>
    <xf numFmtId="168" fontId="18" fillId="0" borderId="1" xfId="0" applyNumberFormat="1" applyFont="1" applyBorder="1" applyAlignment="1">
      <alignment horizontal="center" wrapText="1"/>
    </xf>
    <xf numFmtId="0" fontId="6" fillId="0" borderId="0" xfId="0" applyFont="1" applyAlignment="1">
      <alignment wrapText="1"/>
    </xf>
    <xf numFmtId="0" fontId="6" fillId="0" borderId="2" xfId="0" applyFont="1" applyBorder="1" applyAlignment="1">
      <alignment horizontal="center" vertical="top" wrapText="1"/>
    </xf>
    <xf numFmtId="0" fontId="6" fillId="0" borderId="2" xfId="0" applyFont="1" applyBorder="1" applyAlignment="1">
      <alignment horizontal="center" wrapText="1"/>
    </xf>
    <xf numFmtId="0" fontId="6" fillId="0" borderId="0" xfId="0" applyFont="1" applyAlignment="1">
      <alignment horizontal="center" wrapText="1"/>
    </xf>
    <xf numFmtId="0" fontId="6" fillId="0" borderId="2" xfId="0" quotePrefix="1" applyFont="1" applyBorder="1" applyAlignment="1">
      <alignment horizontal="center" wrapText="1"/>
    </xf>
    <xf numFmtId="0" fontId="6" fillId="0" borderId="2" xfId="0" applyFont="1" applyBorder="1" applyAlignment="1">
      <alignment wrapText="1"/>
    </xf>
    <xf numFmtId="168" fontId="6" fillId="0" borderId="0" xfId="0" applyNumberFormat="1" applyFont="1" applyAlignment="1">
      <alignment horizontal="center"/>
    </xf>
    <xf numFmtId="0" fontId="4" fillId="0" borderId="0" xfId="0" applyFont="1"/>
    <xf numFmtId="0" fontId="3" fillId="0" borderId="0" xfId="0" applyFont="1"/>
    <xf numFmtId="0" fontId="11" fillId="0" borderId="0" xfId="0" applyFont="1" applyAlignment="1">
      <alignment horizontal="center"/>
    </xf>
    <xf numFmtId="168" fontId="11" fillId="0" borderId="0" xfId="0" applyNumberFormat="1" applyFont="1" applyAlignment="1">
      <alignment horizontal="center"/>
    </xf>
    <xf numFmtId="0" fontId="11" fillId="0" borderId="2" xfId="0" quotePrefix="1" applyFont="1" applyBorder="1"/>
    <xf numFmtId="0" fontId="27" fillId="0" borderId="0" xfId="0" applyFont="1"/>
    <xf numFmtId="0" fontId="11" fillId="0" borderId="2" xfId="0" quotePrefix="1" applyFont="1" applyBorder="1" applyAlignment="1">
      <alignment horizontal="center"/>
    </xf>
    <xf numFmtId="0" fontId="11" fillId="0" borderId="2" xfId="0" applyFont="1" applyBorder="1" applyAlignment="1">
      <alignment horizontal="center"/>
    </xf>
    <xf numFmtId="0" fontId="3" fillId="0" borderId="0" xfId="0" applyFont="1" applyAlignment="1">
      <alignment horizontal="center"/>
    </xf>
    <xf numFmtId="0" fontId="3" fillId="0" borderId="2" xfId="0" applyFont="1" applyBorder="1" applyAlignment="1">
      <alignment horizontal="center"/>
    </xf>
    <xf numFmtId="0" fontId="3" fillId="0" borderId="2" xfId="0" applyFont="1" applyBorder="1"/>
    <xf numFmtId="0" fontId="3" fillId="0" borderId="2" xfId="0" quotePrefix="1" applyFont="1" applyBorder="1" applyAlignment="1">
      <alignment horizontal="center"/>
    </xf>
    <xf numFmtId="0" fontId="3" fillId="0" borderId="1" xfId="0" applyFont="1" applyBorder="1"/>
    <xf numFmtId="168" fontId="7" fillId="0" borderId="0" xfId="0" applyNumberFormat="1" applyFont="1" applyAlignment="1">
      <alignment horizontal="center" vertical="top" wrapText="1"/>
    </xf>
    <xf numFmtId="9" fontId="7" fillId="0" borderId="0" xfId="2" applyFont="1" applyAlignment="1">
      <alignment horizontal="center" vertical="top"/>
    </xf>
    <xf numFmtId="169" fontId="7" fillId="0" borderId="0" xfId="0" applyNumberFormat="1" applyFont="1" applyAlignment="1">
      <alignment horizontal="center" vertical="top" wrapText="1"/>
    </xf>
    <xf numFmtId="9" fontId="7" fillId="0" borderId="0" xfId="0" applyNumberFormat="1" applyFont="1" applyAlignment="1">
      <alignment horizontal="center" vertical="top"/>
    </xf>
    <xf numFmtId="0" fontId="7" fillId="0" borderId="0" xfId="0" applyFont="1" applyAlignment="1">
      <alignment horizontal="center" vertical="top"/>
    </xf>
    <xf numFmtId="169" fontId="18" fillId="0" borderId="2" xfId="0" applyNumberFormat="1" applyFont="1" applyBorder="1" applyAlignment="1">
      <alignment horizontal="center"/>
    </xf>
    <xf numFmtId="169" fontId="7" fillId="0" borderId="2" xfId="0" applyNumberFormat="1" applyFont="1" applyBorder="1" applyAlignment="1">
      <alignment horizontal="center" vertical="top" wrapText="1"/>
    </xf>
    <xf numFmtId="0" fontId="7" fillId="0" borderId="2" xfId="0" applyFont="1" applyBorder="1" applyAlignment="1">
      <alignment vertical="top"/>
    </xf>
    <xf numFmtId="170" fontId="0" fillId="0" borderId="0" xfId="0" applyNumberFormat="1"/>
    <xf numFmtId="0" fontId="17" fillId="0" borderId="1" xfId="0" applyFont="1" applyBorder="1" applyAlignment="1">
      <alignment horizontal="center" wrapText="1"/>
    </xf>
    <xf numFmtId="0" fontId="2" fillId="0" borderId="0" xfId="6"/>
    <xf numFmtId="168" fontId="3" fillId="0" borderId="0" xfId="0" applyNumberFormat="1" applyFont="1"/>
    <xf numFmtId="178" fontId="3" fillId="0" borderId="0" xfId="1" applyNumberFormat="1" applyFont="1"/>
    <xf numFmtId="2" fontId="3" fillId="0" borderId="0" xfId="0" applyNumberFormat="1" applyFont="1"/>
    <xf numFmtId="2" fontId="3" fillId="0" borderId="0" xfId="1" applyNumberFormat="1" applyFont="1"/>
    <xf numFmtId="1" fontId="3" fillId="0" borderId="0" xfId="0" applyNumberFormat="1" applyFont="1"/>
    <xf numFmtId="1" fontId="3" fillId="0" borderId="0" xfId="1" applyNumberFormat="1" applyFont="1"/>
    <xf numFmtId="4" fontId="0" fillId="0" borderId="0" xfId="0" applyNumberFormat="1"/>
    <xf numFmtId="0" fontId="1" fillId="0" borderId="0" xfId="7"/>
    <xf numFmtId="11" fontId="1" fillId="0" borderId="0" xfId="7" applyNumberFormat="1"/>
    <xf numFmtId="3" fontId="1" fillId="0" borderId="0" xfId="7" applyNumberFormat="1"/>
    <xf numFmtId="168" fontId="21" fillId="0" borderId="0" xfId="0" applyNumberFormat="1" applyFont="1" applyAlignment="1">
      <alignment horizontal="center"/>
    </xf>
    <xf numFmtId="2" fontId="7" fillId="0" borderId="3" xfId="0" applyNumberFormat="1" applyFont="1" applyBorder="1" applyAlignment="1">
      <alignment horizontal="center" wrapText="1"/>
    </xf>
    <xf numFmtId="0" fontId="5" fillId="0" borderId="0" xfId="0" applyFont="1" applyAlignment="1">
      <alignment horizontal="left" vertical="top" wrapText="1"/>
    </xf>
    <xf numFmtId="0" fontId="7" fillId="0" borderId="0" xfId="0" applyFont="1" applyAlignment="1">
      <alignment horizontal="left" vertical="top" wrapText="1"/>
    </xf>
    <xf numFmtId="2" fontId="6" fillId="0" borderId="3" xfId="0" applyNumberFormat="1" applyFont="1" applyBorder="1" applyAlignment="1">
      <alignment horizontal="center" wrapText="1"/>
    </xf>
    <xf numFmtId="0" fontId="7" fillId="0" borderId="1" xfId="0" applyFont="1" applyBorder="1" applyAlignment="1">
      <alignment horizontal="center" wrapText="1"/>
    </xf>
    <xf numFmtId="0" fontId="7" fillId="0" borderId="2" xfId="0" applyFont="1" applyBorder="1" applyAlignment="1">
      <alignment horizontal="center" wrapText="1"/>
    </xf>
    <xf numFmtId="0" fontId="7" fillId="0" borderId="0" xfId="0" applyFont="1" applyAlignment="1">
      <alignment horizontal="left" wrapText="1"/>
    </xf>
    <xf numFmtId="0" fontId="20" fillId="0" borderId="0" xfId="0" applyFont="1" applyAlignment="1">
      <alignment wrapText="1"/>
    </xf>
    <xf numFmtId="0" fontId="18" fillId="0" borderId="0" xfId="0" applyFont="1" applyAlignment="1">
      <alignment wrapText="1"/>
    </xf>
    <xf numFmtId="0" fontId="18" fillId="0" borderId="0" xfId="0" applyFont="1" applyAlignment="1">
      <alignment vertical="top" wrapText="1"/>
    </xf>
    <xf numFmtId="0" fontId="18" fillId="0" borderId="2" xfId="0" applyFont="1" applyBorder="1" applyAlignment="1">
      <alignment horizontal="center" wrapText="1"/>
    </xf>
    <xf numFmtId="0" fontId="18" fillId="0" borderId="3" xfId="0" applyFont="1" applyBorder="1" applyAlignment="1">
      <alignment horizontal="center" wrapText="1"/>
    </xf>
    <xf numFmtId="0" fontId="11" fillId="0" borderId="0" xfId="0" applyFont="1" applyAlignment="1">
      <alignment horizontal="left" vertical="top" wrapText="1"/>
    </xf>
    <xf numFmtId="0" fontId="7" fillId="0" borderId="2" xfId="0" applyFont="1" applyBorder="1" applyAlignment="1">
      <alignment horizontal="center"/>
    </xf>
    <xf numFmtId="0" fontId="11" fillId="0" borderId="1" xfId="0" applyFont="1" applyBorder="1" applyAlignment="1">
      <alignment horizontal="left" vertical="top" wrapText="1"/>
    </xf>
    <xf numFmtId="0" fontId="18" fillId="0" borderId="3" xfId="0" applyFont="1" applyBorder="1" applyAlignment="1">
      <alignment wrapText="1"/>
    </xf>
    <xf numFmtId="0" fontId="18" fillId="0" borderId="1" xfId="0" applyFont="1" applyBorder="1" applyAlignment="1">
      <alignment horizontal="center" wrapText="1"/>
    </xf>
    <xf numFmtId="0" fontId="18" fillId="0" borderId="1" xfId="0" applyFont="1" applyBorder="1" applyAlignment="1">
      <alignment wrapText="1"/>
    </xf>
    <xf numFmtId="0" fontId="18" fillId="0" borderId="2" xfId="0" applyFont="1" applyBorder="1" applyAlignment="1">
      <alignment wrapText="1"/>
    </xf>
    <xf numFmtId="0" fontId="18" fillId="0" borderId="1" xfId="0" applyFont="1" applyBorder="1" applyAlignment="1">
      <alignment horizontal="center" vertical="top" wrapText="1"/>
    </xf>
    <xf numFmtId="0" fontId="18" fillId="0" borderId="0" xfId="0" applyFont="1" applyAlignment="1">
      <alignment horizontal="center" vertical="top" wrapText="1"/>
    </xf>
    <xf numFmtId="0" fontId="18" fillId="0" borderId="0" xfId="0" applyFont="1" applyAlignment="1">
      <alignment horizontal="center" wrapText="1"/>
    </xf>
    <xf numFmtId="0" fontId="21" fillId="0" borderId="3" xfId="3" applyFont="1" applyBorder="1" applyAlignment="1">
      <alignment horizontal="center" vertical="top" wrapText="1"/>
    </xf>
    <xf numFmtId="0" fontId="21" fillId="0" borderId="0" xfId="3" applyFont="1" applyAlignment="1">
      <alignment horizontal="left" wrapText="1"/>
    </xf>
    <xf numFmtId="0" fontId="18" fillId="0" borderId="3" xfId="0" applyFont="1" applyBorder="1" applyAlignment="1">
      <alignment vertical="top"/>
    </xf>
    <xf numFmtId="0" fontId="21" fillId="0" borderId="0" xfId="3" applyFont="1" applyAlignment="1">
      <alignment horizontal="left" vertical="top" wrapText="1"/>
    </xf>
    <xf numFmtId="0" fontId="18" fillId="0" borderId="0" xfId="0" applyFont="1" applyAlignment="1">
      <alignment vertical="top"/>
    </xf>
    <xf numFmtId="0" fontId="7" fillId="0" borderId="0" xfId="0" applyFont="1" applyAlignment="1">
      <alignment wrapText="1"/>
    </xf>
    <xf numFmtId="0" fontId="7" fillId="0" borderId="3" xfId="0" applyFont="1" applyBorder="1" applyAlignment="1">
      <alignment horizontal="center" wrapText="1"/>
    </xf>
    <xf numFmtId="0" fontId="6" fillId="0" borderId="0" xfId="0" applyFont="1" applyAlignment="1">
      <alignment wrapText="1"/>
    </xf>
    <xf numFmtId="0" fontId="6" fillId="0" borderId="2" xfId="0" applyFont="1" applyBorder="1" applyAlignment="1">
      <alignment horizontal="center" wrapText="1"/>
    </xf>
    <xf numFmtId="0" fontId="6" fillId="0" borderId="0" xfId="0" applyFont="1" applyAlignment="1">
      <alignment vertical="top" wrapText="1"/>
    </xf>
    <xf numFmtId="0" fontId="7" fillId="0" borderId="1" xfId="0" applyFont="1" applyBorder="1" applyAlignment="1">
      <alignment horizontal="left" vertical="top" wrapText="1"/>
    </xf>
    <xf numFmtId="0" fontId="7" fillId="0" borderId="3" xfId="0" applyFont="1" applyBorder="1" applyAlignment="1">
      <alignment horizontal="center" vertical="top" wrapText="1"/>
    </xf>
    <xf numFmtId="0" fontId="7" fillId="0" borderId="2" xfId="0" applyFont="1" applyBorder="1" applyAlignment="1">
      <alignment wrapText="1"/>
    </xf>
    <xf numFmtId="0" fontId="7" fillId="0" borderId="3" xfId="0" applyFont="1" applyBorder="1" applyAlignment="1">
      <alignment horizontal="center"/>
    </xf>
    <xf numFmtId="0" fontId="11" fillId="0" borderId="0" xfId="0" applyFont="1" applyAlignment="1">
      <alignment vertical="top" wrapText="1"/>
    </xf>
    <xf numFmtId="0" fontId="0" fillId="0" borderId="0" xfId="0" applyAlignment="1">
      <alignment vertical="top" wrapText="1"/>
    </xf>
    <xf numFmtId="0" fontId="11" fillId="0" borderId="0" xfId="0" applyFont="1" applyAlignment="1">
      <alignment wrapText="1"/>
    </xf>
    <xf numFmtId="0" fontId="3" fillId="0" borderId="0" xfId="0" applyFont="1" applyAlignment="1">
      <alignment vertical="top" wrapText="1"/>
    </xf>
    <xf numFmtId="0" fontId="3" fillId="0" borderId="3" xfId="0" applyFont="1" applyBorder="1" applyAlignment="1">
      <alignment horizontal="center" wrapText="1"/>
    </xf>
    <xf numFmtId="0" fontId="0" fillId="0" borderId="3" xfId="0" applyBorder="1" applyAlignment="1">
      <alignment horizontal="center" wrapText="1"/>
    </xf>
    <xf numFmtId="0" fontId="3" fillId="0" borderId="1" xfId="0" applyFont="1" applyBorder="1" applyAlignment="1">
      <alignment horizontal="center" wrapText="1"/>
    </xf>
    <xf numFmtId="0" fontId="0" fillId="0" borderId="0" xfId="0" applyAlignment="1">
      <alignment horizontal="center" wrapText="1"/>
    </xf>
    <xf numFmtId="0" fontId="3" fillId="0" borderId="2" xfId="0" applyFont="1" applyBorder="1" applyAlignment="1">
      <alignment horizontal="center" wrapText="1"/>
    </xf>
    <xf numFmtId="0" fontId="0" fillId="0" borderId="2" xfId="0" applyBorder="1" applyAlignment="1">
      <alignment horizontal="center" wrapText="1"/>
    </xf>
    <xf numFmtId="0" fontId="0" fillId="0" borderId="0" xfId="0" applyAlignment="1">
      <alignment horizontal="left" wrapText="1"/>
    </xf>
    <xf numFmtId="0" fontId="18" fillId="0" borderId="0" xfId="0" applyFont="1" applyAlignment="1">
      <alignment horizontal="left" vertical="top" wrapText="1"/>
    </xf>
    <xf numFmtId="0" fontId="20" fillId="0" borderId="0" xfId="0" applyFont="1" applyAlignment="1">
      <alignment horizontal="left" wrapText="1"/>
    </xf>
    <xf numFmtId="2" fontId="18" fillId="0" borderId="3" xfId="0" applyNumberFormat="1" applyFont="1" applyBorder="1" applyAlignment="1">
      <alignment horizontal="center" wrapText="1"/>
    </xf>
    <xf numFmtId="0" fontId="18" fillId="0" borderId="3" xfId="0" applyFont="1" applyBorder="1" applyAlignment="1">
      <alignment horizontal="center" vertical="top" wrapText="1"/>
    </xf>
    <xf numFmtId="0" fontId="20" fillId="0" borderId="0" xfId="0" applyFont="1" applyAlignment="1">
      <alignment horizontal="left" vertical="top" wrapText="1"/>
    </xf>
    <xf numFmtId="0" fontId="3" fillId="0" borderId="0" xfId="0" applyFont="1" applyAlignment="1">
      <alignment wrapText="1"/>
    </xf>
    <xf numFmtId="0" fontId="7" fillId="0" borderId="1" xfId="0" applyFont="1" applyBorder="1" applyAlignment="1">
      <alignment horizontal="left" wrapText="1"/>
    </xf>
    <xf numFmtId="0" fontId="3" fillId="0" borderId="0" xfId="0" applyFont="1" applyAlignment="1">
      <alignment horizontal="left" vertical="top" wrapText="1"/>
    </xf>
    <xf numFmtId="0" fontId="7" fillId="0" borderId="0" xfId="0" applyFont="1" applyAlignment="1">
      <alignment vertical="top" wrapText="1"/>
    </xf>
    <xf numFmtId="175" fontId="11" fillId="0" borderId="0" xfId="0" applyNumberFormat="1" applyFont="1" applyFill="1" applyAlignment="1">
      <alignment horizontal="center"/>
    </xf>
    <xf numFmtId="174" fontId="11" fillId="0" borderId="0" xfId="0" applyNumberFormat="1" applyFont="1" applyFill="1" applyAlignment="1">
      <alignment horizontal="center"/>
    </xf>
    <xf numFmtId="0" fontId="0" fillId="0" borderId="0" xfId="0" applyFill="1" applyAlignment="1">
      <alignment horizontal="center"/>
    </xf>
    <xf numFmtId="0" fontId="11" fillId="0" borderId="0" xfId="0" applyFont="1" applyFill="1" applyAlignment="1">
      <alignment horizontal="center"/>
    </xf>
    <xf numFmtId="168" fontId="11" fillId="0" borderId="0" xfId="0" applyNumberFormat="1" applyFont="1" applyFill="1" applyAlignment="1">
      <alignment horizontal="center"/>
    </xf>
    <xf numFmtId="0" fontId="0" fillId="0" borderId="0" xfId="0" applyFill="1"/>
    <xf numFmtId="0" fontId="11" fillId="0" borderId="0" xfId="0" applyFont="1" applyFill="1"/>
    <xf numFmtId="174" fontId="11" fillId="0" borderId="2" xfId="0" applyNumberFormat="1" applyFont="1" applyFill="1" applyBorder="1" applyAlignment="1">
      <alignment horizontal="center"/>
    </xf>
    <xf numFmtId="0" fontId="0" fillId="0" borderId="2" xfId="0" applyFill="1" applyBorder="1"/>
    <xf numFmtId="168" fontId="3" fillId="0" borderId="0" xfId="0" applyNumberFormat="1" applyFont="1" applyFill="1" applyAlignment="1">
      <alignment horizontal="center"/>
    </xf>
    <xf numFmtId="2" fontId="3" fillId="0" borderId="0" xfId="0" applyNumberFormat="1" applyFont="1" applyFill="1" applyAlignment="1">
      <alignment horizontal="center"/>
    </xf>
    <xf numFmtId="175" fontId="3" fillId="0" borderId="0" xfId="0" applyNumberFormat="1" applyFont="1" applyFill="1" applyAlignment="1">
      <alignment horizontal="center"/>
    </xf>
    <xf numFmtId="176" fontId="3" fillId="0" borderId="0" xfId="0" applyNumberFormat="1" applyFont="1" applyFill="1" applyAlignment="1">
      <alignment horizontal="center"/>
    </xf>
    <xf numFmtId="0" fontId="3" fillId="0" borderId="0" xfId="0" applyFont="1" applyFill="1"/>
    <xf numFmtId="1" fontId="3" fillId="0" borderId="0" xfId="0" applyNumberFormat="1" applyFont="1" applyFill="1" applyAlignment="1">
      <alignment horizontal="center"/>
    </xf>
    <xf numFmtId="177" fontId="3" fillId="0" borderId="0" xfId="0" applyNumberFormat="1" applyFont="1" applyFill="1" applyAlignment="1">
      <alignment horizontal="center"/>
    </xf>
    <xf numFmtId="168" fontId="0" fillId="0" borderId="0" xfId="0" applyNumberFormat="1" applyFill="1"/>
    <xf numFmtId="1" fontId="0" fillId="0" borderId="0" xfId="0" applyNumberFormat="1" applyFill="1"/>
    <xf numFmtId="168" fontId="0" fillId="0" borderId="2" xfId="0" applyNumberFormat="1" applyFill="1" applyBorder="1"/>
    <xf numFmtId="1" fontId="0" fillId="0" borderId="2" xfId="0" applyNumberFormat="1" applyFill="1" applyBorder="1"/>
    <xf numFmtId="2" fontId="7" fillId="0" borderId="0" xfId="0" applyNumberFormat="1" applyFont="1" applyFill="1" applyAlignment="1">
      <alignment horizontal="center"/>
    </xf>
    <xf numFmtId="176" fontId="2" fillId="0" borderId="0" xfId="0" applyNumberFormat="1" applyFont="1" applyFill="1" applyAlignment="1">
      <alignment horizontal="center"/>
    </xf>
    <xf numFmtId="39" fontId="7" fillId="0" borderId="0" xfId="0" applyNumberFormat="1" applyFont="1" applyFill="1" applyAlignment="1">
      <alignment horizontal="center"/>
    </xf>
    <xf numFmtId="164" fontId="7" fillId="0" borderId="0" xfId="0" applyNumberFormat="1" applyFont="1" applyFill="1" applyAlignment="1">
      <alignment horizontal="center"/>
    </xf>
    <xf numFmtId="0" fontId="7" fillId="0" borderId="0" xfId="0" applyFont="1" applyFill="1" applyAlignment="1">
      <alignment horizontal="center"/>
    </xf>
    <xf numFmtId="176" fontId="2" fillId="0" borderId="2" xfId="0" applyNumberFormat="1" applyFont="1" applyFill="1" applyBorder="1" applyAlignment="1">
      <alignment horizontal="center"/>
    </xf>
    <xf numFmtId="164" fontId="7" fillId="0" borderId="2" xfId="0" applyNumberFormat="1" applyFont="1" applyFill="1" applyBorder="1" applyAlignment="1">
      <alignment horizontal="center"/>
    </xf>
    <xf numFmtId="0" fontId="0" fillId="2" borderId="0" xfId="0" applyFill="1"/>
    <xf numFmtId="0" fontId="0" fillId="3" borderId="0" xfId="0" applyFill="1"/>
    <xf numFmtId="0" fontId="0" fillId="4" borderId="0" xfId="0" applyFill="1"/>
    <xf numFmtId="0" fontId="28" fillId="0" borderId="0" xfId="0" applyFont="1"/>
  </cellXfs>
  <cellStyles count="8">
    <cellStyle name="Comma" xfId="1" builtinId="3"/>
    <cellStyle name="Normal" xfId="0" builtinId="0"/>
    <cellStyle name="Normal 2" xfId="3" xr:uid="{00000000-0005-0000-0000-000002000000}"/>
    <cellStyle name="Normal 3" xfId="4" xr:uid="{00000000-0005-0000-0000-000003000000}"/>
    <cellStyle name="Normal 4" xfId="5" xr:uid="{00000000-0005-0000-0000-000004000000}"/>
    <cellStyle name="Normal 5" xfId="6" xr:uid="{00000000-0005-0000-0000-000005000000}"/>
    <cellStyle name="Normal 6" xfId="7" xr:uid="{AC58F35F-5A8B-A745-9F8E-6F62677DE3B4}"/>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Jesse Rothstein" id="{F4189E54-7084-504B-89E8-F99E40FE1FF7}" userId="S::rothsteinj@BERKELEY.EDU::61a3eeb0-9ff8-465f-a5b0-b8585e0fef4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0" dT="2023-05-19T00:09:50.48" personId="{F4189E54-7084-504B-89E8-F99E40FE1FF7}" id="{C8452E83-99FF-3C44-A092-A79DD350A58B}">
    <text>Someone should check my math on this.</text>
  </threadedComment>
  <threadedComment ref="J20" dT="2023-05-19T00:09:50.48" personId="{F4189E54-7084-504B-89E8-F99E40FE1FF7}" id="{CA9C8C6C-6406-934F-B330-EA5A1B821C65}">
    <text>Someone should check my math on this.</text>
  </threadedComment>
  <threadedComment ref="P20" dT="2023-05-19T00:09:50.48" personId="{F4189E54-7084-504B-89E8-F99E40FE1FF7}" id="{69734496-50D1-424D-B8CC-08270FE7A5E5}">
    <text>Someone should check my math on this.</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5.bin"/><Relationship Id="rId4" Type="http://schemas.microsoft.com/office/2017/10/relationships/threadedComment" Target="../threadedComments/threadedComment1.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D091E-F86B-7941-82C0-787F2D807801}">
  <sheetPr>
    <tabColor theme="9"/>
  </sheetPr>
  <dimension ref="B2:C7"/>
  <sheetViews>
    <sheetView tabSelected="1" workbookViewId="0">
      <selection activeCell="B15" sqref="B15"/>
    </sheetView>
  </sheetViews>
  <sheetFormatPr baseColWidth="10" defaultRowHeight="15" x14ac:dyDescent="0.2"/>
  <cols>
    <col min="2" max="2" width="61.5" bestFit="1" customWidth="1"/>
    <col min="3" max="3" width="45.83203125" bestFit="1" customWidth="1"/>
  </cols>
  <sheetData>
    <row r="2" spans="2:3" x14ac:dyDescent="0.2">
      <c r="B2" s="276" t="s">
        <v>3392</v>
      </c>
    </row>
    <row r="4" spans="2:3" x14ac:dyDescent="0.2">
      <c r="B4" t="s">
        <v>3393</v>
      </c>
      <c r="C4" t="s">
        <v>3396</v>
      </c>
    </row>
    <row r="5" spans="2:3" x14ac:dyDescent="0.2">
      <c r="B5" t="s">
        <v>3394</v>
      </c>
      <c r="C5" s="275" t="s">
        <v>3395</v>
      </c>
    </row>
    <row r="6" spans="2:3" x14ac:dyDescent="0.2">
      <c r="B6" t="s">
        <v>3397</v>
      </c>
      <c r="C6" s="274" t="s">
        <v>3398</v>
      </c>
    </row>
    <row r="7" spans="2:3" x14ac:dyDescent="0.2">
      <c r="B7" t="s">
        <v>3399</v>
      </c>
      <c r="C7" s="273" t="s">
        <v>3400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45"/>
  <sheetViews>
    <sheetView workbookViewId="0">
      <selection activeCell="B14" sqref="B14"/>
    </sheetView>
  </sheetViews>
  <sheetFormatPr baseColWidth="10" defaultColWidth="8.83203125" defaultRowHeight="16" x14ac:dyDescent="0.2"/>
  <cols>
    <col min="1" max="1" width="1.1640625" style="29" customWidth="1"/>
    <col min="2" max="2" width="28.83203125" style="29" customWidth="1"/>
    <col min="3" max="3" width="10.5" style="29" customWidth="1"/>
    <col min="4" max="5" width="9.5" style="29" customWidth="1"/>
    <col min="6" max="6" width="0.83203125" style="29" customWidth="1"/>
    <col min="7" max="7" width="11.5" style="29" bestFit="1" customWidth="1"/>
    <col min="8" max="8" width="9.6640625" style="29" bestFit="1" customWidth="1"/>
    <col min="9" max="16384" width="8.83203125" style="29"/>
  </cols>
  <sheetData>
    <row r="1" spans="2:8" ht="33" customHeight="1" x14ac:dyDescent="0.2">
      <c r="B1" s="196" t="s">
        <v>11</v>
      </c>
      <c r="C1" s="196"/>
      <c r="D1" s="196"/>
      <c r="E1" s="196"/>
      <c r="F1" s="196"/>
      <c r="G1" s="196"/>
      <c r="H1" s="196"/>
    </row>
    <row r="2" spans="2:8" x14ac:dyDescent="0.2">
      <c r="C2" s="30"/>
      <c r="G2" s="30"/>
      <c r="H2" s="30"/>
    </row>
    <row r="3" spans="2:8" ht="33" customHeight="1" x14ac:dyDescent="0.2">
      <c r="B3" s="31"/>
      <c r="C3" s="194" t="s">
        <v>172</v>
      </c>
      <c r="D3" s="190" t="s">
        <v>10</v>
      </c>
      <c r="E3" s="190"/>
      <c r="F3" s="33"/>
      <c r="G3" s="193" t="s">
        <v>209</v>
      </c>
      <c r="H3" s="190"/>
    </row>
    <row r="4" spans="2:8" ht="20" customHeight="1" x14ac:dyDescent="0.2">
      <c r="C4" s="195"/>
      <c r="D4" s="45" t="s">
        <v>12</v>
      </c>
      <c r="E4" s="45" t="s">
        <v>13</v>
      </c>
      <c r="F4" s="32"/>
      <c r="G4" s="46" t="s">
        <v>14</v>
      </c>
      <c r="H4" s="46" t="s">
        <v>13</v>
      </c>
    </row>
    <row r="5" spans="2:8" x14ac:dyDescent="0.2">
      <c r="B5" s="30"/>
      <c r="C5" s="34">
        <v>-1</v>
      </c>
      <c r="D5" s="34">
        <v>-2</v>
      </c>
      <c r="E5" s="34">
        <v>-3</v>
      </c>
      <c r="F5" s="34"/>
      <c r="G5" s="34">
        <v>-4</v>
      </c>
      <c r="H5" s="34">
        <v>-5</v>
      </c>
    </row>
    <row r="6" spans="2:8" ht="24" customHeight="1" x14ac:dyDescent="0.2">
      <c r="B6" s="29" t="s">
        <v>15</v>
      </c>
      <c r="C6" s="35">
        <f>VALUE(disc7.1!B7)</f>
        <v>9.4339999999999993</v>
      </c>
      <c r="D6" s="35">
        <f>VALUE(disc7.1!C7)</f>
        <v>9.4309999999999992</v>
      </c>
      <c r="E6" s="35">
        <f>VALUE(disc7.1!D7)</f>
        <v>9.4410000000000007</v>
      </c>
      <c r="G6" s="35">
        <f>VALUE(disc7.1!E7)</f>
        <v>9.5060000000000002</v>
      </c>
      <c r="H6" s="35">
        <f>VALUE(disc7.1!F7)</f>
        <v>9.548</v>
      </c>
    </row>
    <row r="7" spans="2:8" ht="18.5" customHeight="1" x14ac:dyDescent="0.2">
      <c r="B7" s="146" t="s">
        <v>210</v>
      </c>
      <c r="C7" s="36">
        <f>VALUE(disc7.1!B8)</f>
        <v>-0.59560000000000002</v>
      </c>
      <c r="D7" s="36">
        <f>VALUE(disc7.1!C8)</f>
        <v>-0.59450000000000003</v>
      </c>
      <c r="E7" s="36">
        <f>VALUE(disc7.1!D8)</f>
        <v>-0.59850000000000003</v>
      </c>
      <c r="G7" s="36">
        <f>VALUE(disc7.1!E8)</f>
        <v>-0.63339999999999996</v>
      </c>
      <c r="H7" s="36">
        <f>VALUE(disc7.1!F8)</f>
        <v>-0.65010000000000001</v>
      </c>
    </row>
    <row r="8" spans="2:8" ht="19.5" customHeight="1" x14ac:dyDescent="0.2">
      <c r="B8" s="146" t="s">
        <v>212</v>
      </c>
      <c r="C8" s="37">
        <f>VALUE(disc7.1!B9)</f>
        <v>42.44</v>
      </c>
      <c r="D8" s="37">
        <f>VALUE(disc7.1!C9)</f>
        <v>43.56</v>
      </c>
      <c r="E8" s="37">
        <f>VALUE(disc7.1!D9)</f>
        <v>39.450000000000003</v>
      </c>
      <c r="F8" s="38"/>
      <c r="G8" s="37">
        <f>VALUE(disc7.1!E9)</f>
        <v>40.93</v>
      </c>
      <c r="H8" s="37">
        <f>VALUE(disc7.1!F9)</f>
        <v>40.08</v>
      </c>
    </row>
    <row r="9" spans="2:8" s="143" customFormat="1" ht="16" hidden="1" customHeight="1" x14ac:dyDescent="0.2">
      <c r="C9" s="144">
        <f>VALUE(disc7.1!B10)</f>
        <v>-10.78</v>
      </c>
      <c r="D9" s="144">
        <f>VALUE(disc7.1!C10)</f>
        <v>-10.73</v>
      </c>
      <c r="E9" s="144">
        <f>VALUE(disc7.1!D10)</f>
        <v>-10.32</v>
      </c>
      <c r="F9" s="145"/>
      <c r="G9" s="144">
        <f>VALUE(disc7.1!E10)</f>
        <v>-10.63</v>
      </c>
      <c r="H9" s="144">
        <f>VALUE(disc7.1!F10)</f>
        <v>-10.56</v>
      </c>
    </row>
    <row r="10" spans="2:8" ht="18.5" customHeight="1" x14ac:dyDescent="0.2">
      <c r="B10" s="146" t="s">
        <v>211</v>
      </c>
      <c r="C10" s="35">
        <f>VALUE(disc7.1!B11)</f>
        <v>0.4728</v>
      </c>
      <c r="D10" s="35">
        <f>VALUE(disc7.1!C11)</f>
        <v>0.49</v>
      </c>
      <c r="E10" s="35">
        <f>VALUE(disc7.1!D11)</f>
        <v>0.4269</v>
      </c>
      <c r="G10" s="35">
        <f>VALUE(disc7.1!E11)</f>
        <v>0.46050000000000002</v>
      </c>
      <c r="H10" s="35">
        <f>VALUE(disc7.1!F11)</f>
        <v>0.42530000000000001</v>
      </c>
    </row>
    <row r="11" spans="2:8" ht="18.5" customHeight="1" x14ac:dyDescent="0.2">
      <c r="B11" s="29" t="s">
        <v>9</v>
      </c>
      <c r="C11" s="35">
        <f>VALUE(disc7.1!B13)</f>
        <v>0.16120000000000001</v>
      </c>
      <c r="D11" s="35">
        <f>VALUE(disc7.1!C13)</f>
        <v>0.1676</v>
      </c>
      <c r="E11" s="35">
        <f>VALUE(disc7.1!D13)</f>
        <v>0.1439</v>
      </c>
      <c r="G11" s="35">
        <f>VALUE(disc7.1!E13)</f>
        <v>0.1512</v>
      </c>
      <c r="H11" s="35">
        <f>VALUE(disc7.1!F13)</f>
        <v>0.1346</v>
      </c>
    </row>
    <row r="12" spans="2:8" ht="18.5" customHeight="1" x14ac:dyDescent="0.2">
      <c r="B12" s="29" t="s">
        <v>8</v>
      </c>
      <c r="C12" s="35">
        <f>VALUE(disc7.1!B15)</f>
        <v>0.1333</v>
      </c>
      <c r="D12" s="35">
        <f>VALUE(disc7.1!C15)</f>
        <v>0.13800000000000001</v>
      </c>
      <c r="E12" s="35">
        <f>VALUE(disc7.1!D15)</f>
        <v>0.1206</v>
      </c>
      <c r="G12" s="35">
        <f>VALUE(disc7.1!E15)</f>
        <v>0.12139999999999999</v>
      </c>
      <c r="H12" s="35">
        <f>VALUE(disc7.1!F15)</f>
        <v>0.10290000000000001</v>
      </c>
    </row>
    <row r="13" spans="2:8" ht="22.25" customHeight="1" x14ac:dyDescent="0.2">
      <c r="B13" s="2" t="s">
        <v>16</v>
      </c>
    </row>
    <row r="14" spans="2:8" ht="18" customHeight="1" x14ac:dyDescent="0.2">
      <c r="B14" s="29" t="s">
        <v>7</v>
      </c>
      <c r="C14" s="35">
        <f>VALUE(disc7.1!B17)</f>
        <v>0.72760000000000002</v>
      </c>
      <c r="D14" s="39">
        <v>1</v>
      </c>
      <c r="E14" s="39">
        <f>IF(disc7.1!D17="",0,VALUE(disc7.1!D17))</f>
        <v>0</v>
      </c>
      <c r="G14" s="35">
        <f>VALUE(disc7.1!E17)</f>
        <v>0.66769999999999996</v>
      </c>
      <c r="H14" s="39">
        <f>IF(disc7.1!F17="",0,VALUE(disc7.1!F17))</f>
        <v>0</v>
      </c>
    </row>
    <row r="15" spans="2:8" ht="18" customHeight="1" x14ac:dyDescent="0.2">
      <c r="B15" s="29" t="s">
        <v>6</v>
      </c>
      <c r="C15" s="35">
        <f>VALUE(disc7.1!B19)</f>
        <v>0.20330000000000001</v>
      </c>
      <c r="D15" s="39">
        <f>IF(disc7.1!C19="",0,VALUE(disc7.1!C19))</f>
        <v>0</v>
      </c>
      <c r="E15" s="35">
        <f>VALUE(disc7.1!D19)</f>
        <v>0.74619999999999997</v>
      </c>
      <c r="G15" s="35">
        <f>VALUE(disc7.1!E19)</f>
        <v>0.33229999999999998</v>
      </c>
      <c r="H15" s="39">
        <v>1</v>
      </c>
    </row>
    <row r="16" spans="2:8" ht="18" customHeight="1" x14ac:dyDescent="0.2">
      <c r="B16" s="29" t="s">
        <v>5</v>
      </c>
      <c r="C16" s="35">
        <f>VALUE(disc7.1!B21)</f>
        <v>6.9129999999999997E-2</v>
      </c>
      <c r="D16" s="39">
        <f>IF(disc7.1!C21="",0,VALUE(disc7.1!C21))</f>
        <v>0</v>
      </c>
      <c r="E16" s="35">
        <f>VALUE(disc7.1!D21)</f>
        <v>0.25380000000000003</v>
      </c>
      <c r="G16" s="39">
        <f>IF(disc7.1!E21="",0,VALUE(disc7.1!E21))</f>
        <v>0</v>
      </c>
      <c r="H16" s="39">
        <f>IF(disc7.1!F21="",0,VALUE(disc7.1!F21))</f>
        <v>0</v>
      </c>
    </row>
    <row r="17" spans="2:8" ht="23" customHeight="1" x14ac:dyDescent="0.2">
      <c r="B17" s="2" t="s">
        <v>17</v>
      </c>
    </row>
    <row r="18" spans="2:8" ht="18" customHeight="1" x14ac:dyDescent="0.2">
      <c r="B18" s="29" t="s">
        <v>4</v>
      </c>
      <c r="C18" s="35">
        <f>VALUE(disc7.1!B23)</f>
        <v>0.64829999999999999</v>
      </c>
      <c r="D18" s="35">
        <f>VALUE(disc7.1!C23)</f>
        <v>0.67769999999999997</v>
      </c>
      <c r="E18" s="35">
        <f>VALUE(disc7.1!D23)</f>
        <v>0.56969999999999998</v>
      </c>
      <c r="G18" s="35">
        <f>VALUE(disc7.1!E23)</f>
        <v>0.62380000000000002</v>
      </c>
      <c r="H18" s="35">
        <f>VALUE(disc7.1!F23)</f>
        <v>0.99490000000000001</v>
      </c>
    </row>
    <row r="19" spans="2:8" ht="18" customHeight="1" x14ac:dyDescent="0.2">
      <c r="B19" s="29" t="s">
        <v>3</v>
      </c>
      <c r="C19" s="35">
        <f>VALUE(disc7.1!B25)</f>
        <v>0.24660000000000001</v>
      </c>
      <c r="D19" s="35">
        <f>VALUE(disc7.1!C25)</f>
        <v>0.2281</v>
      </c>
      <c r="E19" s="35">
        <f>VALUE(disc7.1!D25)</f>
        <v>0.29599999999999999</v>
      </c>
      <c r="G19" s="35">
        <f>VALUE(disc7.1!E25)</f>
        <v>0.36659999999999998</v>
      </c>
      <c r="H19" s="35">
        <f>VALUE(disc7.1!F25)</f>
        <v>5.1029999999999999E-3</v>
      </c>
    </row>
    <row r="20" spans="2:8" ht="18" customHeight="1" x14ac:dyDescent="0.2">
      <c r="B20" s="29" t="s">
        <v>2</v>
      </c>
      <c r="C20" s="35">
        <f>VALUE(disc7.1!B27)</f>
        <v>0.1051</v>
      </c>
      <c r="D20" s="35">
        <f>VALUE(disc7.1!C27)</f>
        <v>9.4119999999999995E-2</v>
      </c>
      <c r="E20" s="35">
        <f>VALUE(disc7.1!D27)</f>
        <v>0.1343</v>
      </c>
      <c r="G20" s="35">
        <f>VALUE(disc7.1!E27)</f>
        <v>9.5860000000000008E-3</v>
      </c>
      <c r="H20" s="39">
        <f>IF(disc7.1!F27="",0,VALUE(disc7.1!F27))</f>
        <v>0</v>
      </c>
    </row>
    <row r="21" spans="2:8" ht="7.5" customHeight="1" x14ac:dyDescent="0.2"/>
    <row r="22" spans="2:8" ht="16.5" customHeight="1" x14ac:dyDescent="0.2">
      <c r="B22" s="29" t="s">
        <v>171</v>
      </c>
      <c r="C22" s="37">
        <f>VALUE(disc7.1!B29)</f>
        <v>25.88</v>
      </c>
      <c r="D22" s="37">
        <f>VALUE(disc7.1!C29)</f>
        <v>26.84</v>
      </c>
      <c r="E22" s="37">
        <f>VALUE(disc7.1!D29)</f>
        <v>23.32</v>
      </c>
      <c r="G22" s="35"/>
    </row>
    <row r="23" spans="2:8" ht="6.75" customHeight="1" x14ac:dyDescent="0.2">
      <c r="C23" s="32"/>
      <c r="D23" s="32"/>
      <c r="E23" s="32"/>
      <c r="F23" s="32"/>
      <c r="G23" s="32"/>
    </row>
    <row r="24" spans="2:8" x14ac:dyDescent="0.2">
      <c r="B24" s="29" t="s">
        <v>1</v>
      </c>
      <c r="C24" s="40">
        <f>VALUE(disc7.1!B31)/1000000</f>
        <v>2523</v>
      </c>
      <c r="D24" s="40">
        <f>VALUE(disc7.1!C31)/1000000</f>
        <v>1835</v>
      </c>
      <c r="E24" s="40">
        <f>VALUE(disc7.1!D31)/1000000</f>
        <v>687.2</v>
      </c>
      <c r="G24" s="40">
        <f>VALUE(disc7.1!E31)/1000000</f>
        <v>193.4</v>
      </c>
      <c r="H24" s="40">
        <f>VALUE(disc7.1!F31)/1000000</f>
        <v>67.17</v>
      </c>
    </row>
    <row r="25" spans="2:8" x14ac:dyDescent="0.2">
      <c r="B25" s="30" t="s">
        <v>0</v>
      </c>
      <c r="C25" s="41">
        <f>VALUE(disc7.1!B32)/1000000</f>
        <v>112.1</v>
      </c>
      <c r="D25" s="41">
        <f>VALUE(disc7.1!C32)/1000000</f>
        <v>78.59</v>
      </c>
      <c r="E25" s="41">
        <f>VALUE(disc7.1!D32)/1000000</f>
        <v>33.520000000000003</v>
      </c>
      <c r="F25" s="30"/>
      <c r="G25" s="41">
        <f>VALUE(disc7.1!E32)/1000000</f>
        <v>19.34</v>
      </c>
      <c r="H25" s="41">
        <f>VALUE(disc7.1!F32)/1000000</f>
        <v>6.7169999999999996</v>
      </c>
    </row>
    <row r="26" spans="2:8" x14ac:dyDescent="0.2">
      <c r="C26" s="40"/>
      <c r="D26" s="40"/>
      <c r="E26" s="40"/>
      <c r="G26" s="40"/>
      <c r="H26" s="40"/>
    </row>
    <row r="27" spans="2:8" ht="15" customHeight="1" x14ac:dyDescent="0.2">
      <c r="B27" s="191" t="s">
        <v>213</v>
      </c>
      <c r="C27" s="192"/>
      <c r="D27" s="192"/>
      <c r="E27" s="192"/>
      <c r="F27" s="192"/>
      <c r="G27" s="192"/>
      <c r="H27" s="192"/>
    </row>
    <row r="28" spans="2:8" x14ac:dyDescent="0.2">
      <c r="B28" s="192"/>
      <c r="C28" s="192"/>
      <c r="D28" s="192"/>
      <c r="E28" s="192"/>
      <c r="F28" s="192"/>
      <c r="G28" s="192"/>
      <c r="H28" s="192"/>
    </row>
    <row r="29" spans="2:8" x14ac:dyDescent="0.2">
      <c r="B29" s="192"/>
      <c r="C29" s="192"/>
      <c r="D29" s="192"/>
      <c r="E29" s="192"/>
      <c r="F29" s="192"/>
      <c r="G29" s="192"/>
      <c r="H29" s="192"/>
    </row>
    <row r="30" spans="2:8" ht="67" customHeight="1" x14ac:dyDescent="0.2">
      <c r="B30" s="192"/>
      <c r="C30" s="192"/>
      <c r="D30" s="192"/>
      <c r="E30" s="192"/>
      <c r="F30" s="192"/>
      <c r="G30" s="192"/>
      <c r="H30" s="192"/>
    </row>
    <row r="33" spans="3:7" x14ac:dyDescent="0.2">
      <c r="C33" s="32"/>
      <c r="D33" s="32"/>
      <c r="E33" s="32"/>
      <c r="F33" s="32"/>
      <c r="G33" s="32"/>
    </row>
    <row r="44" spans="3:7" x14ac:dyDescent="0.2">
      <c r="C44" s="32"/>
      <c r="D44" s="32"/>
      <c r="E44" s="32"/>
      <c r="F44" s="32"/>
      <c r="G44" s="32"/>
    </row>
    <row r="45" spans="3:7" x14ac:dyDescent="0.2">
      <c r="C45" s="32"/>
      <c r="D45" s="32"/>
      <c r="E45" s="32"/>
      <c r="F45" s="32"/>
      <c r="G45" s="32"/>
    </row>
  </sheetData>
  <mergeCells count="5">
    <mergeCell ref="D3:E3"/>
    <mergeCell ref="B27:H30"/>
    <mergeCell ref="G3:H3"/>
    <mergeCell ref="C3:C4"/>
    <mergeCell ref="B1:H1"/>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6:O27"/>
  <sheetViews>
    <sheetView zoomScale="110" zoomScaleNormal="110" workbookViewId="0">
      <selection activeCell="G30" sqref="G30"/>
    </sheetView>
  </sheetViews>
  <sheetFormatPr baseColWidth="10" defaultColWidth="8.83203125" defaultRowHeight="16" x14ac:dyDescent="0.2"/>
  <cols>
    <col min="1" max="1" width="8.83203125" style="47"/>
    <col min="2" max="2" width="29.1640625" style="47" customWidth="1"/>
    <col min="3" max="3" width="1.83203125" style="47" customWidth="1"/>
    <col min="4" max="4" width="14" style="47" customWidth="1"/>
    <col min="5" max="5" width="10" style="47" customWidth="1"/>
    <col min="6" max="6" width="1.83203125" style="47" customWidth="1"/>
    <col min="7" max="7" width="14.83203125" style="47" customWidth="1"/>
    <col min="8" max="8" width="11.5" style="47" customWidth="1"/>
    <col min="9" max="16384" width="8.83203125" style="47"/>
  </cols>
  <sheetData>
    <row r="6" spans="2:15" x14ac:dyDescent="0.2">
      <c r="B6" s="47" t="s">
        <v>37</v>
      </c>
    </row>
    <row r="7" spans="2:15" ht="4.5" customHeight="1" x14ac:dyDescent="0.2"/>
    <row r="8" spans="2:15" ht="4.25" customHeight="1" x14ac:dyDescent="0.2">
      <c r="B8" s="71"/>
      <c r="C8" s="200"/>
      <c r="D8" s="200"/>
      <c r="E8" s="200"/>
      <c r="F8" s="73"/>
      <c r="G8" s="200"/>
      <c r="H8" s="200"/>
      <c r="I8" s="74"/>
    </row>
    <row r="9" spans="2:15" ht="21" customHeight="1" x14ac:dyDescent="0.2">
      <c r="B9" s="74"/>
      <c r="C9" s="55"/>
      <c r="D9" s="201" t="s">
        <v>18</v>
      </c>
      <c r="E9" s="201"/>
      <c r="F9" s="75"/>
      <c r="G9" s="201" t="s">
        <v>19</v>
      </c>
      <c r="H9" s="201"/>
      <c r="I9" s="74"/>
    </row>
    <row r="10" spans="2:15" s="52" customFormat="1" ht="34" x14ac:dyDescent="0.2">
      <c r="B10" s="55"/>
      <c r="C10" s="55"/>
      <c r="D10" s="76" t="s">
        <v>20</v>
      </c>
      <c r="E10" s="76" t="s">
        <v>173</v>
      </c>
      <c r="F10" s="74"/>
      <c r="G10" s="76" t="s">
        <v>20</v>
      </c>
      <c r="H10" s="76" t="s">
        <v>173</v>
      </c>
      <c r="I10" s="55"/>
    </row>
    <row r="11" spans="2:15" s="52" customFormat="1" ht="17" x14ac:dyDescent="0.2">
      <c r="B11" s="72"/>
      <c r="C11" s="72"/>
      <c r="D11" s="77" t="s">
        <v>22</v>
      </c>
      <c r="E11" s="77" t="s">
        <v>23</v>
      </c>
      <c r="F11" s="72"/>
      <c r="G11" s="77" t="s">
        <v>24</v>
      </c>
      <c r="H11" s="77" t="s">
        <v>25</v>
      </c>
      <c r="I11" s="55"/>
    </row>
    <row r="12" spans="2:15" s="52" customFormat="1" ht="33" customHeight="1" x14ac:dyDescent="0.2">
      <c r="B12" s="54" t="s">
        <v>35</v>
      </c>
      <c r="C12" s="78"/>
      <c r="D12" s="78">
        <f>VALUE(disc7.2!B7)</f>
        <v>0.65259999999999996</v>
      </c>
      <c r="E12" s="79">
        <v>1</v>
      </c>
      <c r="G12" s="78">
        <f>VALUE(disc7.2!C7)</f>
        <v>0.1467</v>
      </c>
      <c r="H12" s="79">
        <v>1</v>
      </c>
      <c r="I12" s="78"/>
      <c r="M12" s="79"/>
      <c r="N12" s="79"/>
      <c r="O12" s="79"/>
    </row>
    <row r="13" spans="2:15" s="52" customFormat="1" ht="41.25" customHeight="1" x14ac:dyDescent="0.2">
      <c r="B13" s="197" t="s">
        <v>27</v>
      </c>
      <c r="C13" s="198"/>
      <c r="D13" s="198"/>
      <c r="E13" s="198"/>
      <c r="F13" s="198"/>
      <c r="G13" s="198"/>
      <c r="H13" s="198"/>
      <c r="I13" s="55"/>
      <c r="M13" s="79"/>
      <c r="N13" s="79"/>
      <c r="O13" s="79"/>
    </row>
    <row r="14" spans="2:15" s="52" customFormat="1" ht="17.75" customHeight="1" x14ac:dyDescent="0.2">
      <c r="B14" s="54" t="s">
        <v>28</v>
      </c>
      <c r="C14" s="78"/>
      <c r="D14" s="78">
        <f>SQRT((D$12^2)*E14)</f>
        <v>0.52387157600312684</v>
      </c>
      <c r="E14" s="79">
        <f>VALUE(disc7.2!B8)</f>
        <v>0.64439999999999997</v>
      </c>
      <c r="G14" s="78">
        <f>SQRT((G$12^2)*H14)</f>
        <v>8.079162046276829E-2</v>
      </c>
      <c r="H14" s="79">
        <f>VALUE(disc7.2!C8)</f>
        <v>0.30330000000000001</v>
      </c>
      <c r="I14" s="55"/>
      <c r="M14" s="79"/>
      <c r="N14" s="79"/>
      <c r="O14" s="79"/>
    </row>
    <row r="15" spans="2:15" s="52" customFormat="1" ht="17.75" customHeight="1" x14ac:dyDescent="0.2">
      <c r="B15" s="54" t="s">
        <v>31</v>
      </c>
      <c r="C15" s="78"/>
      <c r="D15" s="78">
        <f>SQRT((D$12^2)*E15)</f>
        <v>0.22284163932263645</v>
      </c>
      <c r="E15" s="79">
        <f>VALUE(disc7.2!B9)</f>
        <v>0.1166</v>
      </c>
      <c r="G15" s="78">
        <f>SQRT((G$12^2)*H15)</f>
        <v>7.935371707739973E-2</v>
      </c>
      <c r="H15" s="79">
        <f>VALUE(disc7.2!C9)</f>
        <v>0.29260000000000003</v>
      </c>
      <c r="I15" s="55"/>
      <c r="M15" s="79"/>
      <c r="N15" s="79"/>
      <c r="O15" s="79"/>
    </row>
    <row r="16" spans="2:15" s="52" customFormat="1" ht="17.75" customHeight="1" x14ac:dyDescent="0.2">
      <c r="B16" s="54" t="s">
        <v>175</v>
      </c>
      <c r="C16" s="78"/>
      <c r="D16" s="78">
        <f>SQRT((D$12^2)*E16)</f>
        <v>0.13467931210249032</v>
      </c>
      <c r="E16" s="79">
        <f>VALUE(disc7.2!B10)</f>
        <v>4.2590000000000003E-2</v>
      </c>
      <c r="G16" s="78">
        <f>SQRT((G$12^2)*H16)</f>
        <v>5.7344502718220513E-3</v>
      </c>
      <c r="H16" s="79">
        <f>VALUE(disc7.2!C10)</f>
        <v>1.5280000000000001E-3</v>
      </c>
      <c r="I16" s="55"/>
      <c r="M16" s="79"/>
      <c r="N16" s="79"/>
      <c r="O16" s="79"/>
    </row>
    <row r="17" spans="2:15" s="52" customFormat="1" ht="17.75" customHeight="1" x14ac:dyDescent="0.2">
      <c r="B17" s="54" t="s">
        <v>29</v>
      </c>
      <c r="C17" s="78"/>
      <c r="D17" s="78">
        <f>SQRT((D$12^2)*E17)</f>
        <v>0.2321091879698001</v>
      </c>
      <c r="E17" s="79">
        <f>VALUE(disc7.2!B11)</f>
        <v>0.1265</v>
      </c>
      <c r="G17" s="78">
        <f>SQRT((G$12^2)*H17)</f>
        <v>0</v>
      </c>
      <c r="H17" s="79">
        <f>IF(disc7.2!C11="",0,VALUE(disc7.2!C11))</f>
        <v>0</v>
      </c>
      <c r="I17" s="55"/>
      <c r="M17" s="79"/>
      <c r="N17" s="79"/>
      <c r="O17" s="79"/>
    </row>
    <row r="18" spans="2:15" s="52" customFormat="1" ht="35" customHeight="1" x14ac:dyDescent="0.2">
      <c r="B18" s="197" t="s">
        <v>30</v>
      </c>
      <c r="C18" s="198"/>
      <c r="D18" s="198"/>
      <c r="E18" s="198"/>
      <c r="F18" s="198"/>
      <c r="G18" s="198"/>
      <c r="H18" s="198"/>
      <c r="I18" s="55"/>
      <c r="M18" s="79"/>
      <c r="N18" s="79"/>
      <c r="O18" s="79"/>
    </row>
    <row r="19" spans="2:15" s="52" customFormat="1" ht="20.75" customHeight="1" x14ac:dyDescent="0.2">
      <c r="B19" s="54" t="s">
        <v>32</v>
      </c>
      <c r="C19" s="78"/>
      <c r="D19" s="78">
        <f>(E19*(D12^2)/2)/(D14*D15)</f>
        <v>0.18240761429379049</v>
      </c>
      <c r="E19" s="78">
        <f>VALUE(disc7.2!B12)</f>
        <v>0.1</v>
      </c>
      <c r="G19" s="78">
        <f>(H19*(G12^2)/2)/(G14*G15)</f>
        <v>0.64182188529322148</v>
      </c>
      <c r="H19" s="78">
        <f>VALUE(disc7.2!C12)</f>
        <v>0.38240000000000002</v>
      </c>
      <c r="I19" s="55"/>
      <c r="M19" s="79"/>
      <c r="N19" s="79"/>
      <c r="O19" s="79"/>
    </row>
    <row r="20" spans="2:15" s="52" customFormat="1" ht="20.75" customHeight="1" x14ac:dyDescent="0.2">
      <c r="B20" s="54" t="s">
        <v>33</v>
      </c>
      <c r="C20" s="78"/>
      <c r="D20" s="78">
        <f>(E20*(D12^2)/2)/(D14*D16)</f>
        <v>-9.9900212540645961E-2</v>
      </c>
      <c r="E20" s="78">
        <f>VALUE(disc7.2!B13)</f>
        <v>-3.3099999999999997E-2</v>
      </c>
      <c r="G20" s="78">
        <f>(H20*(G12^2)/2)/(G14*G16)</f>
        <v>0.22759036887831183</v>
      </c>
      <c r="H20" s="78">
        <f>VALUE(disc7.2!C13)</f>
        <v>9.7990000000000004E-3</v>
      </c>
      <c r="I20" s="55"/>
      <c r="M20" s="79"/>
      <c r="N20" s="79"/>
      <c r="O20" s="79"/>
    </row>
    <row r="21" spans="2:15" s="52" customFormat="1" ht="20.75" customHeight="1" x14ac:dyDescent="0.2">
      <c r="B21" s="53" t="s">
        <v>34</v>
      </c>
      <c r="C21" s="80"/>
      <c r="D21" s="80">
        <f>(E21*(D12^2)/2)/(D15*D16)</f>
        <v>2.046975886038448E-2</v>
      </c>
      <c r="E21" s="80">
        <f>VALUE(disc7.2!B15)</f>
        <v>2.885E-3</v>
      </c>
      <c r="F21" s="81"/>
      <c r="G21" s="80">
        <f>(H21*(G12^2)/2)/(G15*G16)</f>
        <v>0.24521663172883729</v>
      </c>
      <c r="H21" s="80">
        <f>VALUE(disc7.2!C15)</f>
        <v>1.0370000000000001E-2</v>
      </c>
      <c r="I21" s="55"/>
      <c r="M21" s="82"/>
      <c r="N21" s="82"/>
      <c r="O21" s="82"/>
    </row>
    <row r="22" spans="2:15" s="52" customFormat="1" ht="6.5" customHeight="1" x14ac:dyDescent="0.2">
      <c r="B22" s="141"/>
      <c r="C22" s="147"/>
      <c r="D22" s="147"/>
      <c r="E22" s="147"/>
      <c r="F22" s="49"/>
      <c r="G22" s="147"/>
      <c r="H22" s="147"/>
      <c r="I22" s="55"/>
      <c r="M22" s="79"/>
      <c r="N22" s="79"/>
      <c r="O22" s="79"/>
    </row>
    <row r="23" spans="2:15" s="52" customFormat="1" x14ac:dyDescent="0.2">
      <c r="B23" s="199" t="s">
        <v>36</v>
      </c>
      <c r="C23" s="199"/>
      <c r="D23" s="199"/>
      <c r="E23" s="199"/>
      <c r="F23" s="199"/>
      <c r="G23" s="199"/>
      <c r="H23" s="199"/>
      <c r="I23" s="55"/>
    </row>
    <row r="24" spans="2:15" x14ac:dyDescent="0.2">
      <c r="B24" s="199"/>
      <c r="C24" s="199"/>
      <c r="D24" s="199"/>
      <c r="E24" s="199"/>
      <c r="F24" s="199"/>
      <c r="G24" s="199"/>
      <c r="H24" s="199"/>
    </row>
    <row r="25" spans="2:15" x14ac:dyDescent="0.2">
      <c r="B25" s="199"/>
      <c r="C25" s="199"/>
      <c r="D25" s="199"/>
      <c r="E25" s="199"/>
      <c r="F25" s="199"/>
      <c r="G25" s="199"/>
      <c r="H25" s="199"/>
    </row>
    <row r="26" spans="2:15" x14ac:dyDescent="0.2">
      <c r="B26" s="199"/>
      <c r="C26" s="199"/>
      <c r="D26" s="199"/>
      <c r="E26" s="199"/>
      <c r="F26" s="199"/>
      <c r="G26" s="199"/>
      <c r="H26" s="199"/>
    </row>
    <row r="27" spans="2:15" ht="58.5" customHeight="1" x14ac:dyDescent="0.2">
      <c r="B27" s="199"/>
      <c r="C27" s="199"/>
      <c r="D27" s="199"/>
      <c r="E27" s="199"/>
      <c r="F27" s="199"/>
      <c r="G27" s="199"/>
      <c r="H27" s="199"/>
    </row>
  </sheetData>
  <mergeCells count="7">
    <mergeCell ref="B13:H13"/>
    <mergeCell ref="B18:H18"/>
    <mergeCell ref="B23:H27"/>
    <mergeCell ref="C8:E8"/>
    <mergeCell ref="G8:H8"/>
    <mergeCell ref="D9:E9"/>
    <mergeCell ref="G9:H9"/>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L45"/>
  <sheetViews>
    <sheetView zoomScale="110" zoomScaleNormal="110" workbookViewId="0">
      <selection activeCell="F11" sqref="F11"/>
    </sheetView>
  </sheetViews>
  <sheetFormatPr baseColWidth="10" defaultColWidth="10.83203125" defaultRowHeight="17" x14ac:dyDescent="0.2"/>
  <cols>
    <col min="1" max="1" width="10.83203125" style="4"/>
    <col min="2" max="2" width="3" style="4" customWidth="1"/>
    <col min="3" max="3" width="43.33203125" style="4" customWidth="1"/>
    <col min="4" max="4" width="13.5" style="4" customWidth="1"/>
    <col min="5" max="5" width="9.1640625" style="4" customWidth="1"/>
    <col min="6" max="6" width="12.33203125" style="4" customWidth="1"/>
    <col min="7" max="7" width="13.5" style="4" customWidth="1"/>
    <col min="8" max="9" width="10.83203125" style="4"/>
    <col min="10" max="10" width="12" style="4" customWidth="1"/>
    <col min="11" max="16384" width="10.83203125" style="4"/>
  </cols>
  <sheetData>
    <row r="3" spans="2:10" x14ac:dyDescent="0.2">
      <c r="B3" s="4" t="s">
        <v>130</v>
      </c>
    </row>
    <row r="4" spans="2:10" ht="5.75" customHeight="1" x14ac:dyDescent="0.2">
      <c r="B4" s="22"/>
      <c r="C4" s="22"/>
      <c r="D4" s="22"/>
      <c r="E4" s="22"/>
      <c r="F4" s="22"/>
    </row>
    <row r="5" spans="2:10" ht="20" customHeight="1" x14ac:dyDescent="0.2">
      <c r="B5" s="29"/>
      <c r="C5" s="29"/>
      <c r="D5" s="203" t="s">
        <v>123</v>
      </c>
      <c r="E5" s="203"/>
      <c r="F5" s="203"/>
    </row>
    <row r="6" spans="2:10" ht="34" x14ac:dyDescent="0.2">
      <c r="B6" s="29"/>
      <c r="C6" s="29"/>
      <c r="D6" s="62" t="s">
        <v>108</v>
      </c>
      <c r="E6" s="62" t="s">
        <v>110</v>
      </c>
      <c r="F6" s="132" t="s">
        <v>198</v>
      </c>
    </row>
    <row r="7" spans="2:10" x14ac:dyDescent="0.2">
      <c r="B7" s="63"/>
      <c r="C7" s="63"/>
      <c r="D7" s="64" t="s">
        <v>22</v>
      </c>
      <c r="E7" s="64" t="s">
        <v>23</v>
      </c>
      <c r="F7" s="64" t="s">
        <v>24</v>
      </c>
      <c r="J7" s="4" t="s">
        <v>124</v>
      </c>
    </row>
    <row r="8" spans="2:10" x14ac:dyDescent="0.2">
      <c r="B8" s="29" t="s">
        <v>108</v>
      </c>
      <c r="C8" s="29"/>
      <c r="D8" s="32">
        <v>1</v>
      </c>
      <c r="E8" s="65">
        <f>VALUE(disc7.6!B10)</f>
        <v>7.5300000000000006E-2</v>
      </c>
      <c r="F8" s="66">
        <f>VALUE(disc7.6!B13)</f>
        <v>1.6830000000000001</v>
      </c>
    </row>
    <row r="9" spans="2:10" x14ac:dyDescent="0.2">
      <c r="B9" s="29"/>
      <c r="C9" s="29"/>
      <c r="D9" s="29"/>
      <c r="E9" s="66">
        <f>VALUE(disc7.6!B11)</f>
        <v>-8.0800000000000004E-3</v>
      </c>
      <c r="F9" s="66">
        <f>VALUE(disc7.6!B14)</f>
        <v>-0.14899999999999999</v>
      </c>
    </row>
    <row r="10" spans="2:10" x14ac:dyDescent="0.2">
      <c r="B10" s="29" t="s">
        <v>112</v>
      </c>
      <c r="C10" s="29"/>
      <c r="D10" s="29"/>
      <c r="E10" s="29"/>
      <c r="F10" s="29"/>
    </row>
    <row r="11" spans="2:10" x14ac:dyDescent="0.2">
      <c r="B11" s="29"/>
      <c r="C11" s="29" t="s">
        <v>157</v>
      </c>
      <c r="D11" s="66">
        <f>VALUE(disc7.6!C6)</f>
        <v>0.499</v>
      </c>
      <c r="E11" s="66">
        <f>VALUE(disc7.6!C10)</f>
        <v>3.9699999999999999E-2</v>
      </c>
      <c r="F11" s="65">
        <f>VALUE(disc7.6!C13)</f>
        <v>0.98199999999999998</v>
      </c>
    </row>
    <row r="12" spans="2:10" x14ac:dyDescent="0.2">
      <c r="B12" s="29"/>
      <c r="C12" s="29"/>
      <c r="D12" s="66">
        <f>VALUE(disc7.6!C7)</f>
        <v>-2.0500000000000001E-2</v>
      </c>
      <c r="E12" s="66">
        <f>VALUE(disc7.6!C11)</f>
        <v>-6.5500000000000003E-3</v>
      </c>
      <c r="F12" s="66">
        <f>VALUE(disc7.6!C14)</f>
        <v>-6.8900000000000003E-2</v>
      </c>
    </row>
    <row r="13" spans="2:10" x14ac:dyDescent="0.2">
      <c r="B13" s="29"/>
      <c r="C13" s="29" t="s">
        <v>160</v>
      </c>
      <c r="D13" s="66">
        <f>VALUE(disc7.6!D6)</f>
        <v>0.48899999999999999</v>
      </c>
      <c r="E13" s="66">
        <f>VALUE(disc7.6!D10)</f>
        <v>3.4000000000000002E-2</v>
      </c>
      <c r="F13" s="65">
        <f>VALUE(disc7.6!D13)</f>
        <v>0.66400000000000003</v>
      </c>
    </row>
    <row r="14" spans="2:10" x14ac:dyDescent="0.2">
      <c r="B14" s="29"/>
      <c r="C14" s="29"/>
      <c r="D14" s="66">
        <f>VALUE(disc7.6!D7)</f>
        <v>-1.8700000000000001E-2</v>
      </c>
      <c r="E14" s="66">
        <f>VALUE(disc7.6!D11)</f>
        <v>-3.0999999999999999E-3</v>
      </c>
      <c r="F14" s="66">
        <f>VALUE(disc7.6!D14)</f>
        <v>-9.8799999999999999E-2</v>
      </c>
    </row>
    <row r="15" spans="2:10" x14ac:dyDescent="0.2">
      <c r="B15" s="29"/>
      <c r="C15" s="29" t="s">
        <v>156</v>
      </c>
      <c r="D15" s="67">
        <f>D13/D8</f>
        <v>0.48899999999999999</v>
      </c>
      <c r="E15" s="67">
        <f>E13/E8</f>
        <v>0.45152722443559096</v>
      </c>
      <c r="F15" s="67">
        <f>F13/F8</f>
        <v>0.39453357100415926</v>
      </c>
    </row>
    <row r="16" spans="2:10" ht="25.5" customHeight="1" x14ac:dyDescent="0.2">
      <c r="B16" s="29" t="s">
        <v>115</v>
      </c>
      <c r="C16" s="29"/>
      <c r="D16" s="29"/>
      <c r="E16" s="29"/>
      <c r="F16" s="29"/>
    </row>
    <row r="17" spans="2:6" x14ac:dyDescent="0.2">
      <c r="B17" s="29"/>
      <c r="C17" s="29" t="s">
        <v>116</v>
      </c>
      <c r="D17" s="66">
        <f>VALUE(disc7.6!E6)</f>
        <v>0.24</v>
      </c>
      <c r="E17" s="66">
        <f>VALUE(disc7.6!E10)</f>
        <v>2.5000000000000001E-2</v>
      </c>
      <c r="F17" s="65">
        <f>VALUE(disc7.6!E13)</f>
        <v>0.46600000000000003</v>
      </c>
    </row>
    <row r="18" spans="2:6" x14ac:dyDescent="0.2">
      <c r="B18" s="29"/>
      <c r="C18" s="29"/>
      <c r="D18" s="66">
        <f>VALUE(disc7.6!E7)</f>
        <v>-2.1899999999999999E-2</v>
      </c>
      <c r="E18" s="66">
        <f>VALUE(disc7.6!E11)</f>
        <v>-2.0200000000000001E-3</v>
      </c>
      <c r="F18" s="66">
        <f>VALUE(disc7.6!E14)</f>
        <v>-4.6699999999999998E-2</v>
      </c>
    </row>
    <row r="19" spans="2:6" x14ac:dyDescent="0.2">
      <c r="B19" s="29"/>
      <c r="C19" s="29" t="s">
        <v>117</v>
      </c>
      <c r="D19" s="65">
        <f>VALUE(disc7.6!F6)</f>
        <v>-8.7099999999999997E-2</v>
      </c>
      <c r="E19" s="65">
        <f>VALUE(disc7.6!F10)</f>
        <v>-4.7999999999999996E-3</v>
      </c>
      <c r="F19" s="65">
        <f>VALUE(disc7.6!F13)</f>
        <v>-0.20200000000000001</v>
      </c>
    </row>
    <row r="20" spans="2:6" x14ac:dyDescent="0.2">
      <c r="B20" s="29"/>
      <c r="C20" s="29"/>
      <c r="D20" s="66">
        <f>VALUE(disc7.6!F7)</f>
        <v>-1.24E-2</v>
      </c>
      <c r="E20" s="66">
        <f>VALUE(disc7.6!F11)</f>
        <v>-2.5300000000000001E-3</v>
      </c>
      <c r="F20" s="66">
        <f>VALUE(disc7.6!F14)</f>
        <v>-2.06E-2</v>
      </c>
    </row>
    <row r="21" spans="2:6" x14ac:dyDescent="0.2">
      <c r="B21" s="29"/>
      <c r="C21" s="29" t="s">
        <v>118</v>
      </c>
      <c r="D21" s="65">
        <f>VALUE(disc7.6!G6)</f>
        <v>0.21299999999999999</v>
      </c>
      <c r="E21" s="65">
        <f>VALUE(disc7.6!G10)</f>
        <v>1.8499999999999999E-2</v>
      </c>
      <c r="F21" s="65">
        <f>VALUE(disc7.6!G13)</f>
        <v>0.41399999999999998</v>
      </c>
    </row>
    <row r="22" spans="2:6" x14ac:dyDescent="0.2">
      <c r="B22" s="29"/>
      <c r="C22" s="29"/>
      <c r="D22" s="66">
        <f>VALUE(disc7.6!G7)</f>
        <v>-9.4800000000000006E-3</v>
      </c>
      <c r="E22" s="66">
        <f>VALUE(disc7.6!G11)</f>
        <v>-2.2100000000000002E-3</v>
      </c>
      <c r="F22" s="66">
        <f>VALUE(disc7.6!G14)</f>
        <v>-3.3500000000000002E-2</v>
      </c>
    </row>
    <row r="23" spans="2:6" hidden="1" x14ac:dyDescent="0.2">
      <c r="B23" s="29" t="s">
        <v>119</v>
      </c>
      <c r="C23" s="29"/>
      <c r="D23" s="29"/>
      <c r="E23" s="29"/>
      <c r="F23" s="29"/>
    </row>
    <row r="24" spans="2:6" hidden="1" x14ac:dyDescent="0.2">
      <c r="B24" s="29"/>
      <c r="C24" s="29" t="s">
        <v>111</v>
      </c>
      <c r="D24" s="65">
        <f>VALUE(disc7.6!H6)</f>
        <v>0.47499999999999998</v>
      </c>
      <c r="E24" s="65">
        <f>VALUE(disc7.6!H10)</f>
        <v>3.6999999999999998E-2</v>
      </c>
      <c r="F24" s="65">
        <f>VALUE(disc7.6!H13)</f>
        <v>0.73299999999999998</v>
      </c>
    </row>
    <row r="25" spans="2:6" hidden="1" x14ac:dyDescent="0.2">
      <c r="B25" s="29"/>
      <c r="C25" s="29"/>
      <c r="D25" s="66">
        <f>VALUE(disc7.6!H7)</f>
        <v>-1.8800000000000001E-2</v>
      </c>
      <c r="E25" s="66">
        <f>VALUE(disc7.6!H11)</f>
        <v>-2.6199999999999999E-3</v>
      </c>
      <c r="F25" s="66">
        <f>VALUE(disc7.6!H14)</f>
        <v>-8.9399999999999993E-2</v>
      </c>
    </row>
    <row r="26" spans="2:6" hidden="1" x14ac:dyDescent="0.2">
      <c r="B26" s="29"/>
      <c r="C26" s="29" t="s">
        <v>120</v>
      </c>
      <c r="D26" s="65">
        <f>VALUE(disc7.6!I6)</f>
        <v>1.8100000000000002E-2</v>
      </c>
      <c r="E26" s="68">
        <f>VALUE(disc7.6!I10)</f>
        <v>3.6900000000000002E-5</v>
      </c>
      <c r="F26" s="65">
        <f>VALUE(disc7.6!I13)</f>
        <v>-9.5300000000000003E-3</v>
      </c>
    </row>
    <row r="27" spans="2:6" hidden="1" x14ac:dyDescent="0.2">
      <c r="B27" s="29"/>
      <c r="C27" s="29"/>
      <c r="D27" s="66">
        <f>VALUE(disc7.6!I7)</f>
        <v>-6.4099999999999999E-3</v>
      </c>
      <c r="E27" s="69">
        <f>VALUE(disc7.6!I11)</f>
        <v>-4.0200000000000001E-4</v>
      </c>
      <c r="F27" s="66">
        <f>VALUE(disc7.6!I14)</f>
        <v>-1.2500000000000001E-2</v>
      </c>
    </row>
    <row r="28" spans="2:6" hidden="1" x14ac:dyDescent="0.2">
      <c r="B28" s="29"/>
      <c r="C28" s="29" t="s">
        <v>65</v>
      </c>
      <c r="D28" s="65">
        <f>VALUE(disc7.6!J6)</f>
        <v>-4.45E-3</v>
      </c>
      <c r="E28" s="65">
        <f>VALUE(disc7.6!J10)</f>
        <v>-3.13E-3</v>
      </c>
      <c r="F28" s="65">
        <f>VALUE(disc7.6!J13)</f>
        <v>-5.9400000000000001E-2</v>
      </c>
    </row>
    <row r="29" spans="2:6" hidden="1" x14ac:dyDescent="0.2">
      <c r="B29" s="29"/>
      <c r="C29" s="29"/>
      <c r="D29" s="66">
        <f>VALUE(disc7.6!J7)</f>
        <v>-8.3999999999999995E-3</v>
      </c>
      <c r="E29" s="66">
        <f>VALUE(disc7.6!J11)</f>
        <v>-8.3199999999999995E-4</v>
      </c>
      <c r="F29" s="66">
        <f>VALUE(disc7.6!J14)</f>
        <v>-1.4500000000000001E-2</v>
      </c>
    </row>
    <row r="30" spans="2:6" x14ac:dyDescent="0.2">
      <c r="B30" s="29" t="s">
        <v>121</v>
      </c>
      <c r="C30" s="29"/>
      <c r="D30" s="29"/>
      <c r="E30" s="29"/>
      <c r="F30" s="29"/>
    </row>
    <row r="31" spans="2:6" x14ac:dyDescent="0.2">
      <c r="B31" s="29"/>
      <c r="C31" s="29" t="s">
        <v>122</v>
      </c>
      <c r="D31" s="65">
        <f>VALUE(disc7.6!K6)</f>
        <v>0.45100000000000001</v>
      </c>
      <c r="E31" s="65">
        <f>VALUE(disc7.6!K10)</f>
        <v>3.9399999999999998E-2</v>
      </c>
      <c r="F31" s="65">
        <f>VALUE(disc7.6!K13)</f>
        <v>0.85</v>
      </c>
    </row>
    <row r="32" spans="2:6" x14ac:dyDescent="0.2">
      <c r="B32" s="30"/>
      <c r="C32" s="30"/>
      <c r="D32" s="70">
        <f>VALUE(disc7.6!K7)</f>
        <v>-2.5100000000000001E-2</v>
      </c>
      <c r="E32" s="70">
        <f>VALUE(disc7.6!K11)</f>
        <v>-3.5400000000000002E-3</v>
      </c>
      <c r="F32" s="70">
        <f>VALUE(disc7.6!K14)</f>
        <v>-5.67E-2</v>
      </c>
    </row>
    <row r="34" spans="2:12" ht="71" customHeight="1" x14ac:dyDescent="0.2">
      <c r="B34" s="202" t="s">
        <v>199</v>
      </c>
      <c r="C34" s="202"/>
      <c r="D34" s="202"/>
      <c r="E34" s="202"/>
      <c r="F34" s="202"/>
    </row>
    <row r="35" spans="2:12" x14ac:dyDescent="0.2">
      <c r="B35" s="43"/>
      <c r="C35" s="11"/>
    </row>
    <row r="36" spans="2:12" x14ac:dyDescent="0.2">
      <c r="B36" s="10"/>
    </row>
    <row r="37" spans="2:12" x14ac:dyDescent="0.2">
      <c r="B37" s="10"/>
    </row>
    <row r="38" spans="2:12" x14ac:dyDescent="0.2">
      <c r="B38" s="202"/>
    </row>
    <row r="39" spans="2:12" x14ac:dyDescent="0.2">
      <c r="B39" s="202"/>
    </row>
    <row r="40" spans="2:12" x14ac:dyDescent="0.2">
      <c r="B40" s="204"/>
      <c r="C40" s="11"/>
      <c r="D40" s="12"/>
      <c r="E40" s="12"/>
      <c r="F40" s="12"/>
      <c r="G40" s="11"/>
      <c r="H40" s="11"/>
      <c r="I40" s="11"/>
      <c r="J40" s="11"/>
      <c r="K40" s="11"/>
      <c r="L40" s="11"/>
    </row>
    <row r="41" spans="2:12" x14ac:dyDescent="0.2">
      <c r="B41" s="202"/>
      <c r="C41" s="11"/>
      <c r="D41" s="12"/>
      <c r="E41" s="12"/>
      <c r="F41" s="12"/>
      <c r="G41" s="12"/>
      <c r="H41" s="12"/>
      <c r="I41" s="12"/>
      <c r="J41" s="12"/>
      <c r="K41" s="12"/>
      <c r="L41" s="12"/>
    </row>
    <row r="42" spans="2:12" x14ac:dyDescent="0.2">
      <c r="B42" s="10"/>
      <c r="C42" s="11"/>
      <c r="D42" s="12"/>
      <c r="E42" s="12"/>
      <c r="F42" s="12"/>
      <c r="G42" s="11"/>
      <c r="H42" s="11"/>
      <c r="I42" s="11"/>
      <c r="J42" s="11"/>
      <c r="K42" s="11"/>
      <c r="L42" s="11"/>
    </row>
    <row r="43" spans="2:12" x14ac:dyDescent="0.2">
      <c r="B43" s="10"/>
      <c r="C43" s="12"/>
      <c r="D43" s="12"/>
      <c r="E43" s="12"/>
      <c r="F43" s="12"/>
      <c r="G43" s="12"/>
      <c r="H43" s="12"/>
      <c r="I43" s="12"/>
      <c r="J43" s="12"/>
      <c r="K43" s="12"/>
      <c r="L43" s="12"/>
    </row>
    <row r="44" spans="2:12" x14ac:dyDescent="0.2">
      <c r="B44" s="202"/>
      <c r="C44" s="12"/>
      <c r="D44" s="11"/>
      <c r="E44" s="11"/>
      <c r="F44" s="11"/>
      <c r="G44" s="11"/>
      <c r="H44" s="11"/>
      <c r="I44" s="11"/>
      <c r="J44" s="11"/>
      <c r="K44" s="11"/>
      <c r="L44" s="11"/>
    </row>
    <row r="45" spans="2:12" x14ac:dyDescent="0.2">
      <c r="B45" s="202"/>
      <c r="C45" s="12"/>
      <c r="D45" s="12"/>
      <c r="E45" s="12"/>
      <c r="F45" s="12"/>
      <c r="G45" s="12"/>
      <c r="H45" s="12"/>
      <c r="I45" s="12"/>
      <c r="J45" s="12"/>
      <c r="K45" s="12"/>
      <c r="L45" s="12"/>
    </row>
  </sheetData>
  <mergeCells count="5">
    <mergeCell ref="B44:B45"/>
    <mergeCell ref="D5:F5"/>
    <mergeCell ref="B38:B39"/>
    <mergeCell ref="B40:B41"/>
    <mergeCell ref="B34:F3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M30"/>
  <sheetViews>
    <sheetView workbookViewId="0">
      <selection activeCell="N12" sqref="N12"/>
    </sheetView>
  </sheetViews>
  <sheetFormatPr baseColWidth="10" defaultColWidth="8.83203125" defaultRowHeight="16" x14ac:dyDescent="0.2"/>
  <cols>
    <col min="1" max="1" width="8.83203125" style="47"/>
    <col min="2" max="2" width="12.1640625" style="47" customWidth="1"/>
    <col min="3" max="3" width="9.83203125" style="47" customWidth="1"/>
    <col min="4" max="4" width="7.33203125" style="47" customWidth="1"/>
    <col min="5" max="5" width="8.5" style="47" customWidth="1"/>
    <col min="6" max="6" width="7.33203125" style="47" customWidth="1"/>
    <col min="7" max="7" width="7" style="47" customWidth="1"/>
    <col min="8" max="8" width="1" style="47" customWidth="1"/>
    <col min="9" max="13" width="6.83203125" style="47" customWidth="1"/>
    <col min="14" max="16384" width="8.83203125" style="47"/>
  </cols>
  <sheetData>
    <row r="2" spans="2:13" x14ac:dyDescent="0.2">
      <c r="B2" s="47" t="s">
        <v>129</v>
      </c>
    </row>
    <row r="3" spans="2:13" ht="3.5" customHeight="1" x14ac:dyDescent="0.2"/>
    <row r="4" spans="2:13" ht="25.75" customHeight="1" x14ac:dyDescent="0.25">
      <c r="B4" s="48"/>
      <c r="C4" s="49"/>
      <c r="D4" s="201" t="s">
        <v>174</v>
      </c>
      <c r="E4" s="201"/>
      <c r="F4" s="205"/>
      <c r="G4" s="205"/>
      <c r="H4" s="49"/>
      <c r="I4" s="206" t="s">
        <v>247</v>
      </c>
      <c r="J4" s="207"/>
      <c r="K4" s="207"/>
      <c r="L4" s="207"/>
      <c r="M4" s="207"/>
    </row>
    <row r="5" spans="2:13" ht="23.5" customHeight="1" x14ac:dyDescent="0.2">
      <c r="C5" s="52"/>
      <c r="D5" s="201" t="s">
        <v>81</v>
      </c>
      <c r="E5" s="201"/>
      <c r="F5" s="206" t="s">
        <v>89</v>
      </c>
      <c r="G5" s="209" t="s">
        <v>84</v>
      </c>
      <c r="H5" s="52"/>
      <c r="I5" s="208"/>
      <c r="J5" s="208"/>
      <c r="K5" s="208"/>
      <c r="L5" s="208"/>
      <c r="M5" s="208"/>
    </row>
    <row r="6" spans="2:13" s="54" customFormat="1" ht="40" customHeight="1" x14ac:dyDescent="0.2">
      <c r="C6" s="55" t="s">
        <v>82</v>
      </c>
      <c r="D6" s="55" t="s">
        <v>83</v>
      </c>
      <c r="E6" s="55" t="s">
        <v>168</v>
      </c>
      <c r="F6" s="211"/>
      <c r="G6" s="210"/>
      <c r="H6" s="55"/>
      <c r="I6" s="55">
        <v>1</v>
      </c>
      <c r="J6" s="55">
        <v>2</v>
      </c>
      <c r="K6" s="55">
        <v>3</v>
      </c>
      <c r="L6" s="55">
        <v>4</v>
      </c>
      <c r="M6" s="55">
        <v>5</v>
      </c>
    </row>
    <row r="7" spans="2:13" x14ac:dyDescent="0.2">
      <c r="B7" s="56"/>
      <c r="C7" s="57" t="s">
        <v>22</v>
      </c>
      <c r="D7" s="57" t="s">
        <v>23</v>
      </c>
      <c r="E7" s="57" t="s">
        <v>24</v>
      </c>
      <c r="F7" s="57" t="s">
        <v>25</v>
      </c>
      <c r="G7" s="57" t="s">
        <v>26</v>
      </c>
      <c r="H7" s="57"/>
      <c r="I7" s="57" t="s">
        <v>85</v>
      </c>
      <c r="J7" s="57" t="s">
        <v>86</v>
      </c>
      <c r="K7" s="57" t="s">
        <v>87</v>
      </c>
      <c r="L7" s="57" t="s">
        <v>90</v>
      </c>
      <c r="M7" s="57" t="s">
        <v>91</v>
      </c>
    </row>
    <row r="8" spans="2:13" ht="27" customHeight="1" x14ac:dyDescent="0.2">
      <c r="B8" s="47" t="s">
        <v>176</v>
      </c>
      <c r="C8" s="58">
        <f>VALUE(disc7.20!B7)</f>
        <v>9.2629999999999999</v>
      </c>
      <c r="D8" s="58">
        <f>VALUE(disc7.20!D7)</f>
        <v>9.7230000000000008</v>
      </c>
      <c r="E8" s="58">
        <f>VALUE(disc7.20!E7)</f>
        <v>9.5389999999999997</v>
      </c>
      <c r="F8" s="58">
        <f>VALUE(disc7.20!F7)</f>
        <v>9.2850000000000001</v>
      </c>
      <c r="G8" s="58">
        <f>VALUE(disc7.20!G7)</f>
        <v>9.1270000000000007</v>
      </c>
      <c r="I8" s="58">
        <f>VALUE(disc7.20!H7)</f>
        <v>9.1430000000000007</v>
      </c>
      <c r="J8" s="58">
        <f>VALUE(disc7.20!I7)</f>
        <v>9.1980000000000004</v>
      </c>
      <c r="K8" s="58">
        <f>VALUE(disc7.20!J7)</f>
        <v>9.2520000000000007</v>
      </c>
      <c r="L8" s="58">
        <f>VALUE(disc7.20!K7)</f>
        <v>9.3049999999999997</v>
      </c>
      <c r="M8" s="58">
        <f>VALUE(disc7.20!L7)</f>
        <v>9.4190000000000005</v>
      </c>
    </row>
    <row r="9" spans="2:13" x14ac:dyDescent="0.2">
      <c r="C9" s="59">
        <f>VALUE(disc7.20!B8)</f>
        <v>-0.124</v>
      </c>
      <c r="D9" s="59">
        <f>VALUE(disc7.20!D8)</f>
        <v>-8.2299999999999998E-2</v>
      </c>
      <c r="E9" s="59">
        <f>VALUE(disc7.20!E8)</f>
        <v>-5.0799999999999998E-2</v>
      </c>
      <c r="F9" s="59">
        <f>VALUE(disc7.20!F8)</f>
        <v>-0.10199999999999999</v>
      </c>
      <c r="G9" s="59">
        <f>VALUE(disc7.20!G8)</f>
        <v>-6.9400000000000003E-2</v>
      </c>
      <c r="I9" s="59">
        <f>VALUE(disc7.20!H8)</f>
        <v>-6.2100000000000002E-2</v>
      </c>
      <c r="J9" s="59">
        <f>VALUE(disc7.20!I8)</f>
        <v>-5.3499999999999999E-2</v>
      </c>
      <c r="K9" s="59">
        <f>VALUE(disc7.20!J8)</f>
        <v>-6.3799999999999996E-2</v>
      </c>
      <c r="L9" s="59">
        <f>VALUE(disc7.20!K8)</f>
        <v>-7.1499999999999994E-2</v>
      </c>
      <c r="M9" s="59">
        <f>VALUE(disc7.20!L8)</f>
        <v>-0.127</v>
      </c>
    </row>
    <row r="10" spans="2:13" x14ac:dyDescent="0.2">
      <c r="C10" s="58"/>
      <c r="D10" s="58"/>
      <c r="E10" s="58"/>
      <c r="F10" s="58"/>
      <c r="G10" s="58"/>
      <c r="I10" s="58"/>
      <c r="J10" s="58"/>
      <c r="K10" s="58"/>
      <c r="L10" s="58"/>
      <c r="M10" s="58"/>
    </row>
    <row r="11" spans="2:13" x14ac:dyDescent="0.2">
      <c r="B11" s="47" t="s">
        <v>177</v>
      </c>
      <c r="C11" s="58">
        <f>VALUE(disc7.20!B10)</f>
        <v>9.0190000000000001</v>
      </c>
      <c r="D11" s="58">
        <f>VALUE(disc7.20!D10)</f>
        <v>9.2439999999999998</v>
      </c>
      <c r="E11" s="58">
        <f>VALUE(disc7.20!E10)</f>
        <v>9.0679999999999996</v>
      </c>
      <c r="F11" s="58">
        <f>VALUE(disc7.20!F10)</f>
        <v>9.0370000000000008</v>
      </c>
      <c r="G11" s="58">
        <f>VALUE(disc7.20!G10)</f>
        <v>8.9969999999999999</v>
      </c>
      <c r="I11" s="58">
        <f>VALUE(disc7.20!H10)</f>
        <v>8.9939999999999998</v>
      </c>
      <c r="J11" s="58">
        <f>VALUE(disc7.20!I10)</f>
        <v>8.9979999999999993</v>
      </c>
      <c r="K11" s="58">
        <f>VALUE(disc7.20!J10)</f>
        <v>9.0169999999999995</v>
      </c>
      <c r="L11" s="58">
        <f>VALUE(disc7.20!K10)</f>
        <v>9.0370000000000008</v>
      </c>
      <c r="M11" s="58">
        <f>VALUE(disc7.20!L10)</f>
        <v>9.0489999999999995</v>
      </c>
    </row>
    <row r="12" spans="2:13" x14ac:dyDescent="0.2">
      <c r="C12" s="59">
        <f>VALUE(disc7.20!B11)</f>
        <v>-6.83E-2</v>
      </c>
      <c r="D12" s="59">
        <f>VALUE(disc7.20!D11)</f>
        <v>-2.8400000000000002E-2</v>
      </c>
      <c r="E12" s="59">
        <f>VALUE(disc7.20!E11)</f>
        <v>-3.2300000000000002E-2</v>
      </c>
      <c r="F12" s="59">
        <f>VALUE(disc7.20!F11)</f>
        <v>-6.6400000000000001E-2</v>
      </c>
      <c r="G12" s="59">
        <f>VALUE(disc7.20!G11)</f>
        <v>-5.5599999999999997E-2</v>
      </c>
      <c r="I12" s="59">
        <f>VALUE(disc7.20!H11)</f>
        <v>-5.2699999999999997E-2</v>
      </c>
      <c r="J12" s="59">
        <f>VALUE(disc7.20!I11)</f>
        <v>-4.9799999999999997E-2</v>
      </c>
      <c r="K12" s="59">
        <f>VALUE(disc7.20!J11)</f>
        <v>-5.8999999999999997E-2</v>
      </c>
      <c r="L12" s="59">
        <f>VALUE(disc7.20!K11)</f>
        <v>-6.6500000000000004E-2</v>
      </c>
      <c r="M12" s="59">
        <f>VALUE(disc7.20!L11)</f>
        <v>-8.9099999999999999E-2</v>
      </c>
    </row>
    <row r="13" spans="2:13" x14ac:dyDescent="0.2">
      <c r="C13" s="52"/>
      <c r="D13" s="52"/>
      <c r="E13" s="52"/>
      <c r="F13" s="52"/>
      <c r="G13" s="52"/>
      <c r="I13" s="52"/>
      <c r="J13" s="52"/>
      <c r="K13" s="52"/>
      <c r="L13" s="52"/>
      <c r="M13" s="52"/>
    </row>
    <row r="14" spans="2:13" x14ac:dyDescent="0.2">
      <c r="B14" s="47" t="s">
        <v>88</v>
      </c>
      <c r="C14" s="58">
        <f>VALUE(disc7.20!B13)</f>
        <v>0.183</v>
      </c>
      <c r="D14" s="58">
        <f>VALUE(disc7.20!D13)</f>
        <v>0.40699999999999997</v>
      </c>
      <c r="E14" s="58">
        <f>VALUE(disc7.20!E13)</f>
        <v>0.41399999999999998</v>
      </c>
      <c r="F14" s="58">
        <f>VALUE(disc7.20!F13)</f>
        <v>0.183</v>
      </c>
      <c r="G14" s="58">
        <f>VALUE(disc7.20!G13)</f>
        <v>6.7299999999999999E-2</v>
      </c>
      <c r="I14" s="58">
        <f>VALUE(disc7.20!H13)</f>
        <v>8.77E-2</v>
      </c>
      <c r="J14" s="58">
        <f>VALUE(disc7.20!I13)</f>
        <v>0.13900000000000001</v>
      </c>
      <c r="K14" s="58">
        <f>VALUE(disc7.20!J13)</f>
        <v>0.17199999999999999</v>
      </c>
      <c r="L14" s="58">
        <f>VALUE(disc7.20!K13)</f>
        <v>0.20599999999999999</v>
      </c>
      <c r="M14" s="58">
        <f>VALUE(disc7.20!L13)</f>
        <v>0.31</v>
      </c>
    </row>
    <row r="15" spans="2:13" x14ac:dyDescent="0.2">
      <c r="C15" s="59">
        <f>VALUE(disc7.20!B14)</f>
        <v>-8.6599999999999996E-2</v>
      </c>
      <c r="D15" s="59">
        <f>VALUE(disc7.20!D14)</f>
        <v>-5.6599999999999998E-2</v>
      </c>
      <c r="E15" s="59">
        <f>VALUE(disc7.20!E14)</f>
        <v>-2.8799999999999999E-2</v>
      </c>
      <c r="F15" s="59">
        <f>VALUE(disc7.20!F14)</f>
        <v>-5.3199999999999997E-2</v>
      </c>
      <c r="G15" s="59">
        <f>VALUE(disc7.20!G14)</f>
        <v>-1.77E-2</v>
      </c>
      <c r="I15" s="59">
        <f>VALUE(disc7.20!H14)</f>
        <v>-2.7799999999999998E-2</v>
      </c>
      <c r="J15" s="59">
        <f>VALUE(disc7.20!I14)</f>
        <v>-1.0500000000000001E-2</v>
      </c>
      <c r="K15" s="59">
        <f>VALUE(disc7.20!J14)</f>
        <v>-9.5099999999999994E-3</v>
      </c>
      <c r="L15" s="59">
        <f>VALUE(disc7.20!K14)</f>
        <v>-1.15E-2</v>
      </c>
      <c r="M15" s="59">
        <f>VALUE(disc7.20!L14)</f>
        <v>-9.2700000000000005E-2</v>
      </c>
    </row>
    <row r="16" spans="2:13" x14ac:dyDescent="0.2">
      <c r="C16" s="52"/>
      <c r="D16" s="52"/>
      <c r="E16" s="52"/>
      <c r="F16" s="52"/>
      <c r="G16" s="52"/>
      <c r="I16" s="52"/>
      <c r="J16" s="52"/>
      <c r="K16" s="52"/>
      <c r="L16" s="52"/>
      <c r="M16" s="52"/>
    </row>
    <row r="17" spans="2:13" x14ac:dyDescent="0.2">
      <c r="B17" s="47" t="s">
        <v>178</v>
      </c>
      <c r="C17" s="58">
        <f>VALUE(disc7.20!B16)</f>
        <v>6.13E-2</v>
      </c>
      <c r="D17" s="58">
        <f>VALUE(disc7.20!D16)</f>
        <v>7.2999999999999995E-2</v>
      </c>
      <c r="E17" s="58">
        <f>VALUE(disc7.20!E16)</f>
        <v>5.6899999999999999E-2</v>
      </c>
      <c r="F17" s="58">
        <f>VALUE(disc7.20!F16)</f>
        <v>6.4799999999999996E-2</v>
      </c>
      <c r="G17" s="58">
        <f>VALUE(disc7.20!G16)</f>
        <v>6.2899999999999998E-2</v>
      </c>
      <c r="I17" s="58">
        <f>VALUE(disc7.20!H16)</f>
        <v>6.0999999999999999E-2</v>
      </c>
      <c r="J17" s="58">
        <f>VALUE(disc7.20!I16)</f>
        <v>6.1499999999999999E-2</v>
      </c>
      <c r="K17" s="58">
        <f>VALUE(disc7.20!J16)</f>
        <v>6.2700000000000006E-2</v>
      </c>
      <c r="L17" s="58">
        <f>VALUE(disc7.20!K16)</f>
        <v>6.1899999999999997E-2</v>
      </c>
      <c r="M17" s="58">
        <f>VALUE(disc7.20!L16)</f>
        <v>5.9499999999999997E-2</v>
      </c>
    </row>
    <row r="18" spans="2:13" x14ac:dyDescent="0.2">
      <c r="B18" s="56"/>
      <c r="C18" s="60">
        <f>VALUE(disc7.20!B17)</f>
        <v>-1.0699999999999999E-2</v>
      </c>
      <c r="D18" s="60">
        <f>VALUE(disc7.20!D17)</f>
        <v>-4.5999999999999999E-3</v>
      </c>
      <c r="E18" s="60">
        <f>VALUE(disc7.20!E17)</f>
        <v>-1.9900000000000001E-2</v>
      </c>
      <c r="F18" s="60">
        <f>VALUE(disc7.20!F17)</f>
        <v>-5.4599999999999996E-3</v>
      </c>
      <c r="G18" s="60">
        <f>VALUE(disc7.20!G17)</f>
        <v>-7.4700000000000001E-3</v>
      </c>
      <c r="H18" s="56"/>
      <c r="I18" s="60">
        <f>VALUE(disc7.20!H17)</f>
        <v>-8.5400000000000007E-3</v>
      </c>
      <c r="J18" s="60">
        <f>VALUE(disc7.20!I17)</f>
        <v>-9.3900000000000008E-3</v>
      </c>
      <c r="K18" s="60">
        <f>VALUE(disc7.20!J17)</f>
        <v>-7.6400000000000001E-3</v>
      </c>
      <c r="L18" s="60">
        <f>VALUE(disc7.20!K17)</f>
        <v>-7.7600000000000004E-3</v>
      </c>
      <c r="M18" s="60">
        <f>VALUE(disc7.20!L17)</f>
        <v>-1.7000000000000001E-2</v>
      </c>
    </row>
    <row r="19" spans="2:13" ht="5.75" customHeight="1" x14ac:dyDescent="0.2"/>
    <row r="20" spans="2:13" ht="34.25" customHeight="1" x14ac:dyDescent="0.2">
      <c r="B20" s="199" t="s">
        <v>248</v>
      </c>
      <c r="C20" s="199"/>
      <c r="D20" s="199"/>
      <c r="E20" s="199"/>
      <c r="F20" s="199"/>
      <c r="G20" s="199"/>
      <c r="H20" s="199"/>
      <c r="I20" s="199"/>
      <c r="J20" s="199"/>
      <c r="K20" s="199"/>
      <c r="L20" s="199"/>
      <c r="M20" s="199"/>
    </row>
    <row r="22" spans="2:13" x14ac:dyDescent="0.2">
      <c r="C22" s="58"/>
      <c r="D22" s="58"/>
      <c r="E22" s="58"/>
      <c r="F22" s="58"/>
      <c r="G22" s="58"/>
      <c r="H22" s="58"/>
      <c r="I22" s="58"/>
      <c r="J22" s="58"/>
      <c r="K22" s="58"/>
      <c r="L22" s="58"/>
      <c r="M22" s="58"/>
    </row>
    <row r="23" spans="2:13" x14ac:dyDescent="0.2">
      <c r="C23" s="61"/>
      <c r="D23" s="61"/>
      <c r="E23" s="61"/>
      <c r="F23" s="61"/>
      <c r="G23" s="61"/>
      <c r="H23" s="61"/>
      <c r="I23" s="61"/>
      <c r="J23" s="61"/>
      <c r="K23" s="61"/>
      <c r="L23" s="61"/>
      <c r="M23" s="61"/>
    </row>
    <row r="25" spans="2:13" x14ac:dyDescent="0.2">
      <c r="C25" s="61"/>
      <c r="D25" s="61"/>
      <c r="E25" s="61"/>
      <c r="F25" s="61"/>
      <c r="G25" s="61"/>
      <c r="H25" s="61"/>
      <c r="I25" s="61"/>
      <c r="J25" s="61"/>
      <c r="K25" s="61"/>
      <c r="L25" s="61"/>
      <c r="M25" s="61"/>
    </row>
    <row r="26" spans="2:13" x14ac:dyDescent="0.2">
      <c r="C26" s="61"/>
      <c r="D26" s="61"/>
      <c r="E26" s="61"/>
      <c r="F26" s="61"/>
      <c r="G26" s="61"/>
      <c r="H26" s="61"/>
      <c r="I26" s="61"/>
      <c r="J26" s="61"/>
      <c r="K26" s="61"/>
      <c r="L26" s="61"/>
      <c r="M26" s="61"/>
    </row>
    <row r="30" spans="2:13" x14ac:dyDescent="0.2">
      <c r="C30" s="61"/>
      <c r="D30" s="61"/>
      <c r="E30" s="61"/>
      <c r="F30" s="61"/>
      <c r="G30" s="61"/>
      <c r="H30" s="61"/>
      <c r="I30" s="61"/>
      <c r="J30" s="61"/>
      <c r="K30" s="61"/>
      <c r="L30" s="61"/>
      <c r="M30" s="61"/>
    </row>
  </sheetData>
  <mergeCells count="6">
    <mergeCell ref="D4:G4"/>
    <mergeCell ref="I4:M5"/>
    <mergeCell ref="D5:E5"/>
    <mergeCell ref="B20:M20"/>
    <mergeCell ref="G5:G6"/>
    <mergeCell ref="F5:F6"/>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6:N37"/>
  <sheetViews>
    <sheetView topLeftCell="A13" zoomScale="110" zoomScaleNormal="110" workbookViewId="0">
      <selection activeCell="G15" sqref="G15"/>
    </sheetView>
  </sheetViews>
  <sheetFormatPr baseColWidth="10" defaultColWidth="8.83203125" defaultRowHeight="16" x14ac:dyDescent="0.2"/>
  <cols>
    <col min="1" max="1" width="8.83203125" style="47"/>
    <col min="2" max="2" width="32.1640625" style="47" customWidth="1"/>
    <col min="3" max="3" width="1.83203125" style="47" customWidth="1"/>
    <col min="4" max="4" width="9.5" style="47" customWidth="1"/>
    <col min="5" max="5" width="1.83203125" style="47" customWidth="1"/>
    <col min="6" max="6" width="16.1640625" style="47" customWidth="1"/>
    <col min="7" max="7" width="15.5" style="47" customWidth="1"/>
    <col min="8" max="11" width="8.83203125" style="47"/>
    <col min="12" max="13" width="12.33203125" style="47" customWidth="1"/>
    <col min="14" max="16384" width="8.83203125" style="47"/>
  </cols>
  <sheetData>
    <row r="6" spans="2:8" ht="23" customHeight="1" x14ac:dyDescent="0.2">
      <c r="B6" s="198" t="s">
        <v>131</v>
      </c>
      <c r="C6" s="198"/>
      <c r="D6" s="198"/>
      <c r="E6" s="198"/>
      <c r="F6" s="198"/>
      <c r="G6" s="198"/>
    </row>
    <row r="7" spans="2:8" ht="10" customHeight="1" x14ac:dyDescent="0.2">
      <c r="B7" s="71"/>
      <c r="C7" s="200"/>
      <c r="D7" s="200"/>
      <c r="E7" s="200"/>
      <c r="F7" s="200"/>
      <c r="G7" s="200"/>
      <c r="H7" s="74"/>
    </row>
    <row r="8" spans="2:8" x14ac:dyDescent="0.2">
      <c r="B8" s="74"/>
      <c r="C8" s="55"/>
      <c r="D8" s="201" t="s">
        <v>41</v>
      </c>
      <c r="E8" s="201"/>
      <c r="F8" s="201"/>
      <c r="G8" s="201"/>
      <c r="H8" s="74"/>
    </row>
    <row r="9" spans="2:8" x14ac:dyDescent="0.2">
      <c r="B9" s="83"/>
      <c r="C9" s="51"/>
      <c r="D9" s="206" t="s">
        <v>40</v>
      </c>
      <c r="E9" s="51"/>
      <c r="F9" s="201" t="s">
        <v>139</v>
      </c>
      <c r="G9" s="201"/>
      <c r="H9" s="74"/>
    </row>
    <row r="10" spans="2:8" s="52" customFormat="1" ht="17" x14ac:dyDescent="0.2">
      <c r="B10" s="55"/>
      <c r="C10" s="55"/>
      <c r="D10" s="200"/>
      <c r="E10" s="55"/>
      <c r="F10" s="50" t="s">
        <v>38</v>
      </c>
      <c r="G10" s="50" t="s">
        <v>39</v>
      </c>
      <c r="H10" s="55"/>
    </row>
    <row r="11" spans="2:8" s="52" customFormat="1" ht="21" customHeight="1" x14ac:dyDescent="0.2">
      <c r="B11" s="72"/>
      <c r="C11" s="72"/>
      <c r="D11" s="77" t="s">
        <v>22</v>
      </c>
      <c r="E11" s="72"/>
      <c r="F11" s="77" t="s">
        <v>23</v>
      </c>
      <c r="G11" s="77" t="s">
        <v>24</v>
      </c>
      <c r="H11" s="55"/>
    </row>
    <row r="12" spans="2:8" s="52" customFormat="1" ht="6" customHeight="1" x14ac:dyDescent="0.2">
      <c r="B12" s="55"/>
      <c r="C12" s="55"/>
      <c r="D12" s="55"/>
      <c r="E12" s="55"/>
      <c r="F12" s="84"/>
      <c r="G12" s="84"/>
      <c r="H12" s="55"/>
    </row>
    <row r="13" spans="2:8" s="52" customFormat="1" x14ac:dyDescent="0.2">
      <c r="B13" s="85" t="s">
        <v>127</v>
      </c>
      <c r="C13" s="55"/>
      <c r="D13" s="55"/>
      <c r="E13" s="55"/>
      <c r="F13" s="86"/>
      <c r="G13" s="86"/>
    </row>
    <row r="14" spans="2:8" s="52" customFormat="1" x14ac:dyDescent="0.2">
      <c r="B14" s="47" t="s">
        <v>133</v>
      </c>
      <c r="C14" s="55"/>
      <c r="D14" s="78">
        <f>VALUE(disc7.7!D15)</f>
        <v>7.8200000000000006E-2</v>
      </c>
      <c r="F14" s="78">
        <f>VALUE(disc7.7!E15)</f>
        <v>7.6700000000000004E-2</v>
      </c>
      <c r="G14" s="78">
        <f>VALUE(disc7.7!F15)</f>
        <v>7.7600000000000002E-2</v>
      </c>
    </row>
    <row r="15" spans="2:8" s="52" customFormat="1" ht="17" x14ac:dyDescent="0.2">
      <c r="B15" s="54" t="s">
        <v>134</v>
      </c>
      <c r="C15" s="78"/>
      <c r="D15" s="87">
        <f>VALUE(disc7.7!D9)</f>
        <v>0.95599999999999996</v>
      </c>
      <c r="E15" s="58"/>
      <c r="F15" s="87">
        <f>VALUE(disc7.7!E9)</f>
        <v>0.93700000000000006</v>
      </c>
      <c r="G15" s="87">
        <f>VALUE(disc7.7!F9)</f>
        <v>0.95</v>
      </c>
      <c r="H15" s="55"/>
    </row>
    <row r="16" spans="2:8" s="52" customFormat="1" x14ac:dyDescent="0.2">
      <c r="B16" s="47" t="s">
        <v>135</v>
      </c>
      <c r="C16" s="55"/>
      <c r="D16" s="88">
        <f>VALUE(disc7.7!D10)</f>
        <v>-3.1300000000000001E-2</v>
      </c>
      <c r="E16" s="59"/>
      <c r="F16" s="88">
        <f>VALUE(disc7.7!E10)</f>
        <v>-3.1E-2</v>
      </c>
      <c r="G16" s="88">
        <f>VALUE(disc7.7!F10)</f>
        <v>-3.0800000000000001E-2</v>
      </c>
      <c r="H16" s="55"/>
    </row>
    <row r="17" spans="2:14" s="52" customFormat="1" x14ac:dyDescent="0.2">
      <c r="B17" s="47" t="s">
        <v>136</v>
      </c>
      <c r="C17" s="55"/>
      <c r="D17" s="87">
        <f>VALUE(disc7.7!D14)</f>
        <v>0.94199999999999995</v>
      </c>
      <c r="E17" s="58"/>
      <c r="F17" s="87">
        <f>VALUE(disc7.7!E14)</f>
        <v>0.94</v>
      </c>
      <c r="G17" s="87">
        <f>VALUE(disc7.7!F14)</f>
        <v>0.94199999999999995</v>
      </c>
      <c r="H17" s="55"/>
    </row>
    <row r="18" spans="2:14" s="52" customFormat="1" x14ac:dyDescent="0.2">
      <c r="B18" s="47"/>
      <c r="C18" s="55"/>
      <c r="D18" s="87"/>
      <c r="E18" s="58"/>
      <c r="F18" s="87"/>
      <c r="G18" s="87"/>
      <c r="H18" s="55"/>
    </row>
    <row r="19" spans="2:14" s="52" customFormat="1" x14ac:dyDescent="0.2">
      <c r="B19" s="85" t="s">
        <v>128</v>
      </c>
      <c r="C19" s="55"/>
      <c r="D19" s="55"/>
      <c r="E19" s="55"/>
      <c r="F19" s="84"/>
      <c r="G19" s="84"/>
      <c r="H19" s="55"/>
    </row>
    <row r="20" spans="2:14" s="52" customFormat="1" x14ac:dyDescent="0.2">
      <c r="B20" s="47" t="s">
        <v>137</v>
      </c>
      <c r="C20" s="55"/>
      <c r="D20" s="55"/>
      <c r="E20" s="55"/>
      <c r="F20" s="89">
        <f>disc7.3!B10*4</f>
        <v>1.7068E-2</v>
      </c>
      <c r="G20" s="89">
        <f>disc7.3!C10*4</f>
        <v>1.3927999999999999E-2</v>
      </c>
      <c r="H20" s="55"/>
      <c r="L20" s="90"/>
      <c r="M20" s="90"/>
    </row>
    <row r="21" spans="2:14" s="52" customFormat="1" x14ac:dyDescent="0.2">
      <c r="B21" s="47"/>
      <c r="C21" s="55"/>
      <c r="D21" s="55"/>
      <c r="E21" s="55"/>
      <c r="F21" s="91">
        <f>disc7.3!B11*4</f>
        <v>-1.3427999999999999E-3</v>
      </c>
      <c r="G21" s="91">
        <f>disc7.3!C11*4</f>
        <v>-1.4756000000000001E-3</v>
      </c>
      <c r="H21" s="55"/>
      <c r="L21" s="86"/>
      <c r="M21" s="86"/>
    </row>
    <row r="22" spans="2:14" s="52" customFormat="1" ht="9" customHeight="1" x14ac:dyDescent="0.2">
      <c r="B22" s="47"/>
      <c r="C22" s="55"/>
      <c r="D22" s="55"/>
      <c r="E22" s="55"/>
      <c r="H22" s="55"/>
      <c r="L22" s="84"/>
      <c r="M22" s="84"/>
    </row>
    <row r="23" spans="2:14" s="52" customFormat="1" x14ac:dyDescent="0.2">
      <c r="B23" s="47" t="s">
        <v>138</v>
      </c>
      <c r="C23" s="55"/>
      <c r="D23" s="55"/>
      <c r="E23" s="55"/>
      <c r="F23" s="89">
        <f>disc7.3!B13*4</f>
        <v>1.6244000000000001E-2</v>
      </c>
      <c r="G23" s="89">
        <f>disc7.3!C22*4</f>
        <v>1.5816E-2</v>
      </c>
      <c r="H23" s="55"/>
      <c r="L23" s="90"/>
      <c r="M23" s="90"/>
    </row>
    <row r="24" spans="2:14" s="52" customFormat="1" x14ac:dyDescent="0.2">
      <c r="B24" s="47"/>
      <c r="C24" s="55"/>
      <c r="D24" s="55"/>
      <c r="E24" s="55"/>
      <c r="F24" s="91">
        <f>disc7.3!B14*4</f>
        <v>-6.9080000000000001E-3</v>
      </c>
      <c r="G24" s="91">
        <f>disc7.3!C23*4</f>
        <v>-3.9404000000000002E-3</v>
      </c>
      <c r="H24" s="55"/>
      <c r="L24" s="86"/>
      <c r="M24" s="86"/>
    </row>
    <row r="25" spans="2:14" s="52" customFormat="1" ht="7.25" customHeight="1" x14ac:dyDescent="0.2">
      <c r="B25" s="47"/>
      <c r="C25" s="55"/>
      <c r="D25" s="55"/>
      <c r="E25" s="55"/>
      <c r="H25" s="55"/>
      <c r="L25" s="84"/>
      <c r="M25" s="84"/>
    </row>
    <row r="26" spans="2:14" s="52" customFormat="1" x14ac:dyDescent="0.2">
      <c r="B26" s="47" t="s">
        <v>137</v>
      </c>
      <c r="C26" s="55"/>
      <c r="D26" s="55"/>
      <c r="E26" s="55"/>
      <c r="F26" s="89">
        <f>disc7.3!B16*4</f>
        <v>7.1599999999999997E-3</v>
      </c>
      <c r="G26" s="89">
        <f>disc7.3!C25*4</f>
        <v>1.8564E-3</v>
      </c>
      <c r="H26" s="55"/>
      <c r="L26" s="90"/>
      <c r="M26" s="90"/>
    </row>
    <row r="27" spans="2:14" s="52" customFormat="1" x14ac:dyDescent="0.2">
      <c r="B27" s="47" t="s">
        <v>179</v>
      </c>
      <c r="C27" s="55"/>
      <c r="D27" s="55"/>
      <c r="E27" s="55"/>
      <c r="F27" s="91">
        <f>disc7.3!B17*4</f>
        <v>-6.62E-3</v>
      </c>
      <c r="G27" s="91">
        <f>disc7.3!C26*4</f>
        <v>-3.8195999999999998E-3</v>
      </c>
      <c r="H27" s="55"/>
      <c r="L27" s="86"/>
      <c r="M27" s="86"/>
    </row>
    <row r="28" spans="2:14" s="52" customFormat="1" ht="7.25" customHeight="1" x14ac:dyDescent="0.2">
      <c r="B28" s="47"/>
      <c r="C28" s="55"/>
      <c r="D28" s="55"/>
      <c r="E28" s="55"/>
      <c r="H28" s="55"/>
      <c r="L28" s="86"/>
      <c r="M28" s="86"/>
    </row>
    <row r="29" spans="2:14" s="52" customFormat="1" x14ac:dyDescent="0.2">
      <c r="B29" s="47" t="s">
        <v>138</v>
      </c>
      <c r="C29" s="55"/>
      <c r="D29" s="55"/>
      <c r="E29" s="55"/>
      <c r="F29" s="89">
        <f>disc7.3!B19*4</f>
        <v>-7.8440000000000003E-3</v>
      </c>
      <c r="G29" s="89">
        <f>disc7.3!C28*4</f>
        <v>-1.5319999999999999E-3</v>
      </c>
      <c r="H29" s="90"/>
      <c r="L29" s="90"/>
      <c r="M29" s="90"/>
    </row>
    <row r="30" spans="2:14" s="52" customFormat="1" x14ac:dyDescent="0.2">
      <c r="B30" s="56" t="s">
        <v>179</v>
      </c>
      <c r="C30" s="72"/>
      <c r="D30" s="72"/>
      <c r="E30" s="72"/>
      <c r="F30" s="173">
        <f>disc7.3!B20*4</f>
        <v>-1.2028E-3</v>
      </c>
      <c r="G30" s="173">
        <f>disc7.3!C29*4</f>
        <v>-1.0176E-3</v>
      </c>
      <c r="H30" s="86"/>
      <c r="L30" s="86"/>
      <c r="M30" s="86"/>
    </row>
    <row r="31" spans="2:14" s="52" customFormat="1" ht="3.75" customHeight="1" x14ac:dyDescent="0.2">
      <c r="B31" s="54"/>
      <c r="C31" s="78"/>
      <c r="D31" s="78"/>
      <c r="E31" s="78"/>
      <c r="H31" s="55"/>
      <c r="L31" s="79"/>
      <c r="M31" s="79"/>
      <c r="N31" s="79"/>
    </row>
    <row r="32" spans="2:14" s="52" customFormat="1" x14ac:dyDescent="0.2">
      <c r="H32" s="55"/>
      <c r="L32" s="79"/>
      <c r="M32" s="79"/>
      <c r="N32" s="79"/>
    </row>
    <row r="33" spans="2:8" s="52" customFormat="1" ht="16" customHeight="1" x14ac:dyDescent="0.2">
      <c r="B33" s="199" t="s">
        <v>214</v>
      </c>
      <c r="C33" s="199"/>
      <c r="D33" s="199"/>
      <c r="E33" s="199"/>
      <c r="F33" s="199"/>
      <c r="G33" s="199"/>
      <c r="H33" s="55"/>
    </row>
    <row r="34" spans="2:8" x14ac:dyDescent="0.2">
      <c r="B34" s="199"/>
      <c r="C34" s="199"/>
      <c r="D34" s="199"/>
      <c r="E34" s="199"/>
      <c r="F34" s="199"/>
      <c r="G34" s="199"/>
    </row>
    <row r="35" spans="2:8" x14ac:dyDescent="0.2">
      <c r="B35" s="199"/>
      <c r="C35" s="199"/>
      <c r="D35" s="199"/>
      <c r="E35" s="199"/>
      <c r="F35" s="199"/>
      <c r="G35" s="199"/>
    </row>
    <row r="36" spans="2:8" x14ac:dyDescent="0.2">
      <c r="B36" s="199"/>
      <c r="C36" s="199"/>
      <c r="D36" s="199"/>
      <c r="E36" s="199"/>
      <c r="F36" s="199"/>
      <c r="G36" s="199"/>
    </row>
    <row r="37" spans="2:8" ht="76" customHeight="1" x14ac:dyDescent="0.2">
      <c r="B37" s="199"/>
      <c r="C37" s="199"/>
      <c r="D37" s="199"/>
      <c r="E37" s="199"/>
      <c r="F37" s="199"/>
      <c r="G37" s="199"/>
    </row>
  </sheetData>
  <mergeCells count="6">
    <mergeCell ref="B6:G6"/>
    <mergeCell ref="C7:G7"/>
    <mergeCell ref="F9:G9"/>
    <mergeCell ref="B33:G37"/>
    <mergeCell ref="D8:G8"/>
    <mergeCell ref="D9:D10"/>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L22"/>
  <sheetViews>
    <sheetView topLeftCell="B1" zoomScaleNormal="100" workbookViewId="0">
      <selection activeCell="I16" sqref="I16"/>
    </sheetView>
  </sheetViews>
  <sheetFormatPr baseColWidth="10" defaultColWidth="10.6640625" defaultRowHeight="15" x14ac:dyDescent="0.2"/>
  <cols>
    <col min="1" max="1" width="10.6640625" style="20"/>
    <col min="2" max="2" width="1.1640625" style="20" customWidth="1"/>
    <col min="3" max="3" width="27.33203125" style="20" customWidth="1"/>
    <col min="4" max="4" width="8.5" style="20" customWidth="1"/>
    <col min="5" max="5" width="1" style="20" customWidth="1"/>
    <col min="6" max="6" width="9.5" style="20" customWidth="1"/>
    <col min="7" max="7" width="11.1640625" style="20" customWidth="1"/>
    <col min="8" max="8" width="1" style="20" customWidth="1"/>
    <col min="9" max="9" width="9.5" style="20" customWidth="1"/>
    <col min="10" max="10" width="8.6640625" style="20" customWidth="1"/>
    <col min="11" max="11" width="10.83203125" style="20" customWidth="1"/>
    <col min="12" max="12" width="13" style="20" customWidth="1"/>
    <col min="13" max="16384" width="10.6640625" style="20"/>
  </cols>
  <sheetData>
    <row r="2" spans="2:12" ht="34" customHeight="1" x14ac:dyDescent="0.2">
      <c r="B2" s="215" t="s">
        <v>143</v>
      </c>
      <c r="C2" s="215"/>
      <c r="D2" s="215"/>
      <c r="E2" s="215"/>
      <c r="F2" s="215"/>
      <c r="G2" s="215"/>
      <c r="H2" s="215"/>
      <c r="I2" s="215"/>
      <c r="J2" s="215"/>
      <c r="K2" s="215"/>
      <c r="L2" s="215"/>
    </row>
    <row r="3" spans="2:12" ht="16" x14ac:dyDescent="0.2">
      <c r="B3" s="93"/>
      <c r="C3" s="93"/>
      <c r="D3" s="93"/>
      <c r="E3" s="93"/>
      <c r="F3" s="93"/>
      <c r="G3" s="93"/>
      <c r="H3" s="92"/>
      <c r="I3" s="92"/>
      <c r="J3" s="92"/>
      <c r="K3" s="92"/>
      <c r="L3" s="92"/>
    </row>
    <row r="4" spans="2:12" ht="65" customHeight="1" x14ac:dyDescent="0.2">
      <c r="B4" s="92"/>
      <c r="C4" s="92"/>
      <c r="D4" s="102" t="s">
        <v>100</v>
      </c>
      <c r="E4" s="103"/>
      <c r="F4" s="212" t="s">
        <v>140</v>
      </c>
      <c r="G4" s="212"/>
      <c r="H4" s="104"/>
      <c r="I4" s="212" t="s">
        <v>141</v>
      </c>
      <c r="J4" s="212"/>
      <c r="K4" s="212"/>
      <c r="L4" s="214"/>
    </row>
    <row r="5" spans="2:12" ht="16.5" customHeight="1" x14ac:dyDescent="0.2">
      <c r="B5" s="93"/>
      <c r="C5" s="93"/>
      <c r="D5" s="94">
        <v>-1</v>
      </c>
      <c r="E5" s="94"/>
      <c r="F5" s="94">
        <v>-2</v>
      </c>
      <c r="G5" s="94">
        <v>-3</v>
      </c>
      <c r="H5" s="94"/>
      <c r="I5" s="94">
        <v>-4</v>
      </c>
      <c r="J5" s="94">
        <v>-5</v>
      </c>
      <c r="K5" s="94">
        <v>-6</v>
      </c>
      <c r="L5" s="94">
        <v>-7</v>
      </c>
    </row>
    <row r="6" spans="2:12" ht="16.5" customHeight="1" x14ac:dyDescent="0.2">
      <c r="B6" s="95" t="s">
        <v>101</v>
      </c>
      <c r="C6" s="92"/>
      <c r="D6" s="96"/>
      <c r="E6" s="96"/>
      <c r="F6" s="96"/>
      <c r="G6" s="96"/>
      <c r="H6" s="96"/>
      <c r="I6" s="96"/>
      <c r="J6" s="96"/>
      <c r="K6" s="96"/>
      <c r="L6" s="96"/>
    </row>
    <row r="7" spans="2:12" ht="16" x14ac:dyDescent="0.2">
      <c r="B7" s="92"/>
      <c r="C7" s="92" t="s">
        <v>104</v>
      </c>
      <c r="D7" s="96" t="s">
        <v>103</v>
      </c>
      <c r="E7" s="96"/>
      <c r="F7" s="96" t="s">
        <v>103</v>
      </c>
      <c r="G7" s="96" t="s">
        <v>103</v>
      </c>
      <c r="H7" s="96"/>
      <c r="I7" s="96"/>
      <c r="J7" s="96" t="s">
        <v>103</v>
      </c>
      <c r="K7" s="96" t="s">
        <v>103</v>
      </c>
      <c r="L7" s="96" t="s">
        <v>103</v>
      </c>
    </row>
    <row r="8" spans="2:12" ht="16" x14ac:dyDescent="0.2">
      <c r="B8" s="92"/>
      <c r="C8" s="92" t="s">
        <v>180</v>
      </c>
      <c r="D8" s="96"/>
      <c r="E8" s="96"/>
      <c r="F8" s="96"/>
      <c r="G8" s="96"/>
      <c r="H8" s="96"/>
      <c r="I8" s="96"/>
      <c r="J8" s="96" t="s">
        <v>103</v>
      </c>
      <c r="K8" s="96" t="s">
        <v>103</v>
      </c>
      <c r="L8" s="96" t="s">
        <v>103</v>
      </c>
    </row>
    <row r="9" spans="2:12" ht="16" x14ac:dyDescent="0.2">
      <c r="B9" s="92"/>
      <c r="C9" s="92" t="s">
        <v>181</v>
      </c>
      <c r="D9" s="96"/>
      <c r="E9" s="96"/>
      <c r="F9" s="96"/>
      <c r="G9" s="96"/>
      <c r="H9" s="96"/>
      <c r="I9" s="96"/>
      <c r="J9" s="96"/>
      <c r="K9" s="96" t="s">
        <v>103</v>
      </c>
      <c r="L9" s="96" t="s">
        <v>103</v>
      </c>
    </row>
    <row r="10" spans="2:12" ht="16" x14ac:dyDescent="0.2">
      <c r="B10" s="92"/>
      <c r="C10" s="92" t="s">
        <v>142</v>
      </c>
      <c r="D10" s="96"/>
      <c r="E10" s="96"/>
      <c r="F10" s="96"/>
      <c r="G10" s="96"/>
      <c r="H10" s="96"/>
      <c r="I10" s="96"/>
      <c r="J10" s="96"/>
      <c r="K10" s="96"/>
      <c r="L10" s="96" t="s">
        <v>103</v>
      </c>
    </row>
    <row r="11" spans="2:12" ht="16" x14ac:dyDescent="0.2">
      <c r="B11" s="92"/>
      <c r="C11" s="92" t="s">
        <v>102</v>
      </c>
      <c r="D11" s="96" t="s">
        <v>103</v>
      </c>
      <c r="E11" s="96"/>
      <c r="F11" s="96" t="s">
        <v>103</v>
      </c>
      <c r="G11" s="96" t="s">
        <v>103</v>
      </c>
      <c r="H11" s="96"/>
      <c r="I11" s="96"/>
      <c r="J11" s="96"/>
      <c r="K11" s="96"/>
      <c r="L11" s="96"/>
    </row>
    <row r="12" spans="2:12" ht="14.25" customHeight="1" x14ac:dyDescent="0.2">
      <c r="B12" s="92"/>
      <c r="C12" s="92" t="s">
        <v>132</v>
      </c>
      <c r="D12" s="96" t="s">
        <v>103</v>
      </c>
      <c r="E12" s="96"/>
      <c r="F12" s="96"/>
      <c r="G12" s="96"/>
      <c r="H12" s="96"/>
      <c r="I12" s="96"/>
      <c r="J12" s="96"/>
      <c r="K12" s="96"/>
      <c r="L12" s="96"/>
    </row>
    <row r="13" spans="2:12" ht="16" x14ac:dyDescent="0.2">
      <c r="B13" s="92"/>
      <c r="C13" s="92" t="s">
        <v>105</v>
      </c>
      <c r="D13" s="96"/>
      <c r="E13" s="96"/>
      <c r="F13" s="96" t="s">
        <v>103</v>
      </c>
      <c r="G13" s="92"/>
      <c r="H13" s="96"/>
      <c r="I13" s="96"/>
      <c r="J13" s="96"/>
      <c r="K13" s="96"/>
      <c r="L13" s="96"/>
    </row>
    <row r="14" spans="2:12" ht="16" x14ac:dyDescent="0.2">
      <c r="B14" s="92"/>
      <c r="C14" s="92" t="s">
        <v>106</v>
      </c>
      <c r="D14" s="96"/>
      <c r="E14" s="96"/>
      <c r="F14" s="92"/>
      <c r="G14" s="96" t="s">
        <v>103</v>
      </c>
      <c r="H14" s="96"/>
      <c r="I14" s="96"/>
      <c r="J14" s="96"/>
      <c r="K14" s="96"/>
      <c r="L14" s="96"/>
    </row>
    <row r="15" spans="2:12" ht="16" x14ac:dyDescent="0.2">
      <c r="B15" s="92"/>
      <c r="C15" s="92"/>
      <c r="D15" s="96"/>
      <c r="E15" s="96"/>
      <c r="F15" s="92"/>
      <c r="G15" s="92"/>
      <c r="H15" s="96"/>
      <c r="I15" s="96"/>
      <c r="J15" s="96"/>
      <c r="K15" s="96"/>
      <c r="L15" s="96"/>
    </row>
    <row r="16" spans="2:12" ht="16" x14ac:dyDescent="0.2">
      <c r="B16" s="92" t="s">
        <v>107</v>
      </c>
      <c r="C16" s="92"/>
      <c r="D16" s="97">
        <f>'T2'!G15</f>
        <v>7.935371707739973E-2</v>
      </c>
      <c r="E16" s="97"/>
      <c r="F16" s="97">
        <f>VALUE(disc7.7!C15)</f>
        <v>6.3799999999999996E-2</v>
      </c>
      <c r="G16" s="97">
        <f>VALUE(disc7.7!B15)</f>
        <v>6.4799999999999996E-2</v>
      </c>
      <c r="H16" s="98"/>
      <c r="I16" s="189">
        <f>tab6_external!D4</f>
        <v>0.14099999999999999</v>
      </c>
      <c r="J16" s="189">
        <f>tab6_external!D5</f>
        <v>0.11700000000000001</v>
      </c>
      <c r="K16" s="189">
        <f>tab6_external!D6</f>
        <v>0.111</v>
      </c>
      <c r="L16" s="189">
        <f>tab6_external!D7</f>
        <v>0.106</v>
      </c>
    </row>
    <row r="17" spans="2:12" ht="16" x14ac:dyDescent="0.2">
      <c r="B17" s="92"/>
      <c r="C17" s="92"/>
      <c r="D17" s="96"/>
      <c r="E17" s="96"/>
      <c r="F17" s="96"/>
      <c r="G17" s="96"/>
      <c r="H17" s="96"/>
      <c r="L17" s="96"/>
    </row>
    <row r="18" spans="2:12" ht="16" x14ac:dyDescent="0.2">
      <c r="B18" s="213" t="s">
        <v>183</v>
      </c>
      <c r="C18" s="213"/>
      <c r="D18" s="99">
        <v>1</v>
      </c>
      <c r="E18" s="99"/>
      <c r="F18" s="99">
        <f>VALUE(disc7.7!C9)</f>
        <v>0.77100000000000002</v>
      </c>
      <c r="G18" s="99">
        <f>VALUE(disc7.7!B9)</f>
        <v>0.79400000000000004</v>
      </c>
      <c r="H18" s="99"/>
      <c r="I18" s="99">
        <f>VALUE(disc9.1!B6)</f>
        <v>1.4319999999999999</v>
      </c>
      <c r="J18" s="99">
        <f>VALUE(disc9.1!C6)</f>
        <v>1.331</v>
      </c>
      <c r="K18" s="99">
        <f>VALUE(disc9.1!D6)</f>
        <v>1.2649999999999999</v>
      </c>
      <c r="L18" s="99">
        <f>VALUE(disc9.1!E6)</f>
        <v>1.181</v>
      </c>
    </row>
    <row r="19" spans="2:12" ht="16" x14ac:dyDescent="0.2">
      <c r="B19" s="213"/>
      <c r="C19" s="213"/>
      <c r="D19" s="99"/>
      <c r="E19" s="99"/>
      <c r="F19" s="99">
        <f>VALUE(disc7.7!C10)</f>
        <v>-2.1299999999999999E-2</v>
      </c>
      <c r="G19" s="99">
        <f>VALUE(disc7.7!B10)</f>
        <v>-2.0299999999999999E-2</v>
      </c>
      <c r="H19" s="99"/>
      <c r="I19" s="99">
        <f>VALUE(disc9.1!B7)</f>
        <v>-0.107</v>
      </c>
      <c r="J19" s="99">
        <f>VALUE(disc9.1!C7)</f>
        <v>-5.3400000000000003E-2</v>
      </c>
      <c r="K19" s="99">
        <f>VALUE(disc9.1!D7)</f>
        <v>-5.8000000000000003E-2</v>
      </c>
      <c r="L19" s="99">
        <f>VALUE(disc9.1!E7)</f>
        <v>-6.1600000000000002E-2</v>
      </c>
    </row>
    <row r="20" spans="2:12" ht="18.5" customHeight="1" x14ac:dyDescent="0.2">
      <c r="B20" s="93" t="s">
        <v>182</v>
      </c>
      <c r="C20" s="93"/>
      <c r="D20" s="100">
        <v>1</v>
      </c>
      <c r="E20" s="101"/>
      <c r="F20" s="101">
        <f>VALUE(disc7.7!C14)</f>
        <v>0.91900000000000004</v>
      </c>
      <c r="G20" s="101">
        <f>VALUE(disc7.7!B14)</f>
        <v>0.94499999999999995</v>
      </c>
      <c r="H20" s="101"/>
      <c r="I20" s="101">
        <f>VALUE(disc9.1!B9)</f>
        <v>0.65600000000000003</v>
      </c>
      <c r="J20" s="101">
        <f>VALUE(disc9.1!C9)</f>
        <v>0.81599999999999995</v>
      </c>
      <c r="K20" s="101">
        <f>VALUE(disc9.1!D9)</f>
        <v>0.81299999999999994</v>
      </c>
      <c r="L20" s="101">
        <f>VALUE(disc9.1!E9)</f>
        <v>0.77700000000000002</v>
      </c>
    </row>
    <row r="21" spans="2:12" ht="16" x14ac:dyDescent="0.2">
      <c r="B21" s="92"/>
      <c r="C21" s="92"/>
      <c r="D21" s="92"/>
      <c r="E21" s="92"/>
      <c r="F21" s="92"/>
      <c r="G21" s="92"/>
      <c r="H21" s="92"/>
      <c r="I21" s="92"/>
      <c r="J21" s="92"/>
      <c r="K21" s="92"/>
      <c r="L21" s="92"/>
    </row>
    <row r="22" spans="2:12" ht="133" customHeight="1" x14ac:dyDescent="0.2">
      <c r="B22" s="215" t="s">
        <v>184</v>
      </c>
      <c r="C22" s="215"/>
      <c r="D22" s="215"/>
      <c r="E22" s="215"/>
      <c r="F22" s="215"/>
      <c r="G22" s="215"/>
      <c r="H22" s="216"/>
      <c r="I22" s="216"/>
      <c r="J22" s="216"/>
      <c r="K22" s="216"/>
      <c r="L22" s="216"/>
    </row>
  </sheetData>
  <mergeCells count="5">
    <mergeCell ref="F4:G4"/>
    <mergeCell ref="B18:C19"/>
    <mergeCell ref="I4:L4"/>
    <mergeCell ref="B22:L22"/>
    <mergeCell ref="B2:L2"/>
  </mergeCells>
  <pageMargins left="0.7" right="0.7" top="0.75" bottom="0.75" header="0.3" footer="0.3"/>
  <pageSetup orientation="portrait" r:id="rId1"/>
  <headerFooter>
    <oddFooter>&amp;R&amp;K00000055</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6:Q56"/>
  <sheetViews>
    <sheetView topLeftCell="A7" zoomScaleNormal="100" workbookViewId="0">
      <selection activeCell="D16" sqref="D16"/>
    </sheetView>
  </sheetViews>
  <sheetFormatPr baseColWidth="10" defaultColWidth="8.83203125" defaultRowHeight="15" x14ac:dyDescent="0.2"/>
  <cols>
    <col min="2" max="2" width="27" customWidth="1"/>
    <col min="3" max="3" width="1.83203125" customWidth="1"/>
    <col min="4" max="4" width="8.83203125" customWidth="1"/>
    <col min="5" max="5" width="8.5" customWidth="1"/>
    <col min="6" max="6" width="9" customWidth="1"/>
    <col min="7" max="7" width="13" customWidth="1"/>
    <col min="8" max="8" width="15.5" customWidth="1"/>
    <col min="9" max="9" width="1.83203125" customWidth="1"/>
    <col min="10" max="10" width="1.5" hidden="1" customWidth="1"/>
  </cols>
  <sheetData>
    <row r="6" spans="2:17" ht="17" x14ac:dyDescent="0.2">
      <c r="B6" s="217" t="s">
        <v>144</v>
      </c>
      <c r="C6" s="217"/>
      <c r="D6" s="217"/>
      <c r="E6" s="217"/>
      <c r="F6" s="217"/>
      <c r="G6" s="217"/>
      <c r="H6" s="217"/>
      <c r="I6" s="4"/>
      <c r="J6" s="4"/>
      <c r="K6" s="4"/>
    </row>
    <row r="7" spans="2:17" ht="4.5" customHeight="1" x14ac:dyDescent="0.2">
      <c r="B7" s="29"/>
      <c r="C7" s="29"/>
      <c r="D7" s="29"/>
      <c r="E7" s="29"/>
      <c r="F7" s="29"/>
      <c r="G7" s="29"/>
      <c r="H7" s="29"/>
      <c r="I7" s="4"/>
      <c r="J7" s="4"/>
      <c r="K7" s="4"/>
    </row>
    <row r="8" spans="2:17" ht="17" x14ac:dyDescent="0.2">
      <c r="B8" s="44"/>
      <c r="C8" s="195"/>
      <c r="D8" s="195"/>
      <c r="E8" s="195"/>
      <c r="F8" s="195"/>
      <c r="G8" s="195"/>
      <c r="H8" s="195"/>
      <c r="I8" s="6"/>
      <c r="J8" s="5"/>
      <c r="K8" s="7"/>
    </row>
    <row r="9" spans="2:17" ht="17" x14ac:dyDescent="0.2">
      <c r="B9" s="106"/>
      <c r="C9" s="42"/>
      <c r="D9" s="194" t="s">
        <v>43</v>
      </c>
      <c r="E9" s="194" t="s">
        <v>44</v>
      </c>
      <c r="F9" s="218" t="s">
        <v>42</v>
      </c>
      <c r="G9" s="218"/>
      <c r="H9" s="218"/>
      <c r="I9" s="9"/>
      <c r="J9" s="8"/>
      <c r="K9" s="7"/>
    </row>
    <row r="10" spans="2:17" s="1" customFormat="1" ht="54.75" customHeight="1" x14ac:dyDescent="0.2">
      <c r="B10" s="42"/>
      <c r="C10" s="42"/>
      <c r="D10" s="195"/>
      <c r="E10" s="195"/>
      <c r="F10" s="63" t="s">
        <v>185</v>
      </c>
      <c r="G10" s="63" t="s">
        <v>186</v>
      </c>
      <c r="H10" s="63" t="s">
        <v>187</v>
      </c>
      <c r="I10" s="8"/>
      <c r="J10" s="8"/>
      <c r="K10" s="8"/>
    </row>
    <row r="11" spans="2:17" s="1" customFormat="1" ht="21" customHeight="1" x14ac:dyDescent="0.2">
      <c r="B11" s="63"/>
      <c r="C11" s="63"/>
      <c r="D11" s="64" t="s">
        <v>22</v>
      </c>
      <c r="E11" s="64" t="s">
        <v>23</v>
      </c>
      <c r="F11" s="64" t="s">
        <v>24</v>
      </c>
      <c r="G11" s="64" t="s">
        <v>25</v>
      </c>
      <c r="H11" s="64" t="s">
        <v>26</v>
      </c>
      <c r="I11" s="5"/>
      <c r="J11" s="5"/>
      <c r="K11" s="8"/>
    </row>
    <row r="12" spans="2:17" s="1" customFormat="1" ht="17" x14ac:dyDescent="0.2">
      <c r="B12" s="105" t="s">
        <v>47</v>
      </c>
      <c r="C12" s="65"/>
      <c r="D12" s="108" t="s">
        <v>45</v>
      </c>
      <c r="E12" s="108" t="s">
        <v>45</v>
      </c>
      <c r="F12" s="108" t="s">
        <v>45</v>
      </c>
      <c r="G12" s="66">
        <f>VALUE(SUBSTITUTE(disc7.4!E6,"*", ""))</f>
        <v>0.45100000000000001</v>
      </c>
      <c r="H12" s="108" t="s">
        <v>45</v>
      </c>
      <c r="I12" s="11"/>
      <c r="J12" s="11"/>
      <c r="K12" s="8"/>
      <c r="O12" s="12"/>
      <c r="P12" s="12"/>
      <c r="Q12" s="12"/>
    </row>
    <row r="13" spans="2:17" s="1" customFormat="1" ht="18.5" customHeight="1" x14ac:dyDescent="0.2">
      <c r="B13" s="105"/>
      <c r="C13" s="65"/>
      <c r="D13" s="66"/>
      <c r="E13" s="66"/>
      <c r="F13" s="66"/>
      <c r="G13" s="66">
        <f>VALUE(disc7.4!E7)</f>
        <v>-3.2500000000000001E-2</v>
      </c>
      <c r="H13" s="66"/>
      <c r="I13" s="11"/>
      <c r="J13" s="11"/>
      <c r="K13" s="8"/>
      <c r="O13" s="12"/>
      <c r="P13" s="12"/>
      <c r="Q13" s="12"/>
    </row>
    <row r="14" spans="2:17" s="1" customFormat="1" ht="34" x14ac:dyDescent="0.2">
      <c r="B14" s="105" t="s">
        <v>48</v>
      </c>
      <c r="C14" s="65"/>
      <c r="D14" s="108" t="s">
        <v>45</v>
      </c>
      <c r="E14" s="108" t="s">
        <v>45</v>
      </c>
      <c r="F14" s="108" t="s">
        <v>45</v>
      </c>
      <c r="G14" s="108" t="s">
        <v>45</v>
      </c>
      <c r="H14" s="66">
        <f>VALUE(SUBSTITUTE(disc7.4!F9,"*", ""))</f>
        <v>4.3999999999999997E-2</v>
      </c>
      <c r="I14" s="11"/>
      <c r="J14" s="11"/>
      <c r="K14" s="12" t="str">
        <f>SUBSTITUTE(disc7.4!J9,"*", "")</f>
        <v/>
      </c>
      <c r="O14" s="12"/>
      <c r="P14" s="12"/>
      <c r="Q14" s="12"/>
    </row>
    <row r="15" spans="2:17" s="1" customFormat="1" ht="18.5" customHeight="1" x14ac:dyDescent="0.2">
      <c r="B15" s="105"/>
      <c r="C15" s="65"/>
      <c r="D15" s="66"/>
      <c r="E15" s="66"/>
      <c r="F15" s="66"/>
      <c r="G15" s="66"/>
      <c r="H15" s="66">
        <f>VALUE(disc7.4!F10)</f>
        <v>-2.4399999999999999E-3</v>
      </c>
      <c r="I15" s="11"/>
      <c r="J15" s="11"/>
      <c r="O15" s="12"/>
      <c r="P15" s="12"/>
      <c r="Q15" s="12"/>
    </row>
    <row r="16" spans="2:17" s="1" customFormat="1" ht="17" x14ac:dyDescent="0.2">
      <c r="B16" s="105" t="s">
        <v>46</v>
      </c>
      <c r="C16" s="65"/>
      <c r="D16" s="66">
        <f>VALUE(disc7.4!B14)</f>
        <v>0.32600000000000001</v>
      </c>
      <c r="E16" s="66">
        <f>VALUE(disc7.4!C14)</f>
        <v>0.56999999999999995</v>
      </c>
      <c r="F16" s="66">
        <f>VALUE(disc7.4!D14)</f>
        <v>0.873</v>
      </c>
      <c r="G16" s="66">
        <f>VALUE(disc7.4!E14)</f>
        <v>0.88500000000000001</v>
      </c>
      <c r="H16" s="66">
        <f>VALUE(disc7.4!F14)</f>
        <v>0.89200000000000002</v>
      </c>
      <c r="I16" s="11"/>
      <c r="J16" s="11"/>
      <c r="O16" s="12"/>
      <c r="P16" s="12"/>
      <c r="Q16" s="12"/>
    </row>
    <row r="17" spans="2:17" s="1" customFormat="1" ht="18.5" customHeight="1" x14ac:dyDescent="0.2">
      <c r="B17" s="109" t="s">
        <v>169</v>
      </c>
      <c r="C17" s="110"/>
      <c r="D17" s="70">
        <f>VALUE(disc7.4!B15)</f>
        <v>0.11700000000000001</v>
      </c>
      <c r="E17" s="70">
        <f>VALUE(disc7.4!C15)</f>
        <v>9.1200000000000003E-2</v>
      </c>
      <c r="F17" s="70">
        <f>VALUE(disc7.4!D15)</f>
        <v>5.0599999999999999E-2</v>
      </c>
      <c r="G17" s="70">
        <f>VALUE(disc7.4!E15)</f>
        <v>4.8300000000000003E-2</v>
      </c>
      <c r="H17" s="70">
        <f>VALUE(disc7.4!F15)</f>
        <v>4.6699999999999998E-2</v>
      </c>
      <c r="I17" s="11"/>
      <c r="J17" s="11"/>
      <c r="K17" s="8"/>
      <c r="O17" s="12"/>
      <c r="P17" s="12"/>
      <c r="Q17" s="12"/>
    </row>
    <row r="18" spans="2:17" s="1" customFormat="1" ht="9.75" customHeight="1" x14ac:dyDescent="0.2">
      <c r="B18" s="32"/>
      <c r="C18" s="32"/>
      <c r="D18" s="32"/>
      <c r="E18" s="32"/>
      <c r="F18" s="32"/>
      <c r="G18" s="32"/>
      <c r="H18" s="32"/>
      <c r="I18" s="11"/>
      <c r="J18" s="11"/>
      <c r="K18" s="8"/>
      <c r="O18" s="12"/>
      <c r="P18" s="12"/>
      <c r="Q18" s="12"/>
    </row>
    <row r="19" spans="2:17" s="1" customFormat="1" ht="92" customHeight="1" x14ac:dyDescent="0.2">
      <c r="B19" s="192" t="s">
        <v>170</v>
      </c>
      <c r="C19" s="192"/>
      <c r="D19" s="192"/>
      <c r="E19" s="192"/>
      <c r="F19" s="192"/>
      <c r="G19" s="192"/>
      <c r="H19" s="192"/>
      <c r="I19" s="28"/>
      <c r="J19" s="28"/>
      <c r="K19" s="8"/>
    </row>
    <row r="20" spans="2:17" ht="17" x14ac:dyDescent="0.2">
      <c r="B20" s="21"/>
      <c r="C20" s="21"/>
      <c r="D20" s="21"/>
      <c r="E20" s="21"/>
      <c r="F20" s="21"/>
      <c r="G20" s="21"/>
      <c r="H20" s="21"/>
      <c r="I20" s="21"/>
      <c r="J20" s="21"/>
      <c r="K20" s="4"/>
    </row>
    <row r="21" spans="2:17" ht="17" x14ac:dyDescent="0.2">
      <c r="B21" s="21"/>
      <c r="C21" s="21"/>
      <c r="D21" s="21"/>
      <c r="E21" s="21"/>
      <c r="F21" s="21"/>
      <c r="G21" s="21"/>
      <c r="H21" s="21"/>
      <c r="I21" s="21"/>
      <c r="J21" s="21"/>
      <c r="K21" s="4"/>
    </row>
    <row r="22" spans="2:17" ht="17" x14ac:dyDescent="0.2">
      <c r="B22" s="21"/>
      <c r="C22" s="21"/>
      <c r="D22" s="21"/>
      <c r="E22" s="21"/>
      <c r="F22" s="21"/>
      <c r="G22" s="21"/>
      <c r="H22" s="21"/>
      <c r="I22" s="21"/>
      <c r="J22" s="21"/>
      <c r="K22" s="4"/>
    </row>
    <row r="23" spans="2:17" ht="24.5" customHeight="1" x14ac:dyDescent="0.2">
      <c r="B23" s="21"/>
      <c r="C23" s="21"/>
      <c r="D23" s="21"/>
      <c r="E23" s="21"/>
      <c r="F23" s="21"/>
      <c r="G23" s="21"/>
      <c r="H23" s="21"/>
      <c r="I23" s="21"/>
      <c r="J23" s="21"/>
      <c r="K23" s="4"/>
    </row>
    <row r="24" spans="2:17" ht="17" x14ac:dyDescent="0.2">
      <c r="B24" s="4"/>
      <c r="C24" s="4"/>
      <c r="D24" s="4"/>
      <c r="E24" s="4"/>
      <c r="F24" s="4"/>
      <c r="G24" s="4"/>
      <c r="H24" s="4"/>
      <c r="I24" s="4"/>
      <c r="J24" s="4"/>
      <c r="K24" s="4"/>
    </row>
    <row r="25" spans="2:17" ht="17" x14ac:dyDescent="0.2">
      <c r="B25" s="4"/>
      <c r="C25" s="4"/>
      <c r="D25" s="4"/>
      <c r="E25" s="4"/>
      <c r="F25" s="4"/>
      <c r="G25" s="4"/>
      <c r="H25" s="4"/>
      <c r="I25" s="4"/>
      <c r="J25" s="4"/>
      <c r="K25" s="4"/>
    </row>
    <row r="26" spans="2:17" ht="17" x14ac:dyDescent="0.2">
      <c r="B26" s="4"/>
      <c r="C26" s="4"/>
      <c r="D26" s="4"/>
      <c r="E26" s="4"/>
      <c r="F26" s="4"/>
      <c r="G26" s="4"/>
      <c r="H26" s="4"/>
      <c r="I26" s="4"/>
      <c r="J26" s="4"/>
      <c r="K26" s="4"/>
    </row>
    <row r="27" spans="2:17" ht="17" x14ac:dyDescent="0.2">
      <c r="B27" s="4"/>
      <c r="C27" s="4"/>
      <c r="D27" s="4"/>
      <c r="E27" s="4"/>
      <c r="F27" s="4"/>
      <c r="G27" s="4"/>
      <c r="H27" s="4"/>
      <c r="I27" s="4"/>
      <c r="J27" s="4"/>
      <c r="K27" s="4"/>
    </row>
    <row r="28" spans="2:17" ht="17" x14ac:dyDescent="0.2">
      <c r="B28" s="4"/>
      <c r="C28" s="4"/>
      <c r="E28" s="4"/>
      <c r="F28" s="16"/>
      <c r="G28" s="4"/>
      <c r="H28" s="4"/>
      <c r="I28" s="4"/>
      <c r="J28" s="4"/>
      <c r="K28" s="4"/>
    </row>
    <row r="29" spans="2:17" ht="17" x14ac:dyDescent="0.2">
      <c r="B29" s="4"/>
      <c r="C29" s="4"/>
      <c r="D29" s="17"/>
      <c r="E29" s="4"/>
      <c r="F29" s="4"/>
      <c r="G29" s="4"/>
      <c r="H29" s="4"/>
      <c r="J29" s="4"/>
      <c r="K29" s="18"/>
    </row>
    <row r="30" spans="2:17" ht="17" x14ac:dyDescent="0.2">
      <c r="B30" s="4"/>
      <c r="C30" s="4"/>
      <c r="D30" s="17"/>
      <c r="E30" s="17"/>
      <c r="F30" s="17"/>
      <c r="G30" s="17"/>
      <c r="H30" s="17"/>
      <c r="I30" s="4"/>
      <c r="J30" s="4"/>
      <c r="K30" s="4"/>
    </row>
    <row r="31" spans="2:17" ht="17" x14ac:dyDescent="0.2">
      <c r="B31" s="4"/>
      <c r="C31" s="4"/>
      <c r="D31" s="4"/>
      <c r="E31" s="4"/>
      <c r="F31" s="4"/>
      <c r="G31" s="4"/>
      <c r="H31" s="4"/>
      <c r="I31" s="4"/>
      <c r="J31" s="4"/>
      <c r="K31" s="4"/>
    </row>
    <row r="32" spans="2:17" ht="17" x14ac:dyDescent="0.2">
      <c r="B32" s="4"/>
      <c r="C32" s="4"/>
      <c r="D32" s="4"/>
      <c r="E32" s="4"/>
      <c r="F32" s="4"/>
      <c r="G32" s="4"/>
      <c r="H32" s="4"/>
      <c r="I32" s="4"/>
      <c r="J32" s="4"/>
      <c r="K32" s="4"/>
    </row>
    <row r="33" spans="2:11" ht="17" x14ac:dyDescent="0.2">
      <c r="B33" s="4"/>
      <c r="C33" s="4"/>
      <c r="D33" s="4"/>
      <c r="E33" s="4"/>
      <c r="F33" s="4"/>
      <c r="G33" s="4"/>
      <c r="H33" s="4"/>
      <c r="I33" s="4"/>
      <c r="J33" s="4"/>
      <c r="K33" s="4"/>
    </row>
    <row r="34" spans="2:11" ht="17" x14ac:dyDescent="0.2">
      <c r="B34" s="4"/>
      <c r="C34" s="4"/>
      <c r="D34" s="4"/>
      <c r="E34" s="4"/>
      <c r="F34" s="4"/>
      <c r="G34" s="4"/>
      <c r="H34" s="4"/>
      <c r="I34" s="4"/>
      <c r="J34" s="4"/>
      <c r="K34" s="4"/>
    </row>
    <row r="35" spans="2:11" ht="17" x14ac:dyDescent="0.2">
      <c r="B35" s="4"/>
      <c r="C35" s="4"/>
      <c r="D35" s="4"/>
      <c r="E35" s="4"/>
      <c r="F35" s="4"/>
      <c r="G35" s="4"/>
      <c r="H35" s="4"/>
      <c r="I35" s="4"/>
      <c r="J35" s="4"/>
      <c r="K35" s="4"/>
    </row>
    <row r="36" spans="2:11" ht="17" x14ac:dyDescent="0.2">
      <c r="B36" s="4"/>
      <c r="C36" s="4"/>
      <c r="D36" s="4"/>
      <c r="E36" s="4"/>
      <c r="F36" s="4"/>
      <c r="G36" s="4"/>
      <c r="H36" s="4"/>
      <c r="I36" s="4"/>
      <c r="J36" s="4"/>
      <c r="K36" s="4"/>
    </row>
    <row r="37" spans="2:11" ht="17" x14ac:dyDescent="0.2">
      <c r="B37" s="4"/>
      <c r="C37" s="4"/>
      <c r="D37" s="4"/>
      <c r="E37" s="4"/>
      <c r="F37" s="4"/>
      <c r="G37" s="4"/>
      <c r="H37" s="4"/>
      <c r="I37" s="4"/>
      <c r="J37" s="4"/>
      <c r="K37" s="4"/>
    </row>
    <row r="38" spans="2:11" ht="17" x14ac:dyDescent="0.2">
      <c r="B38" s="4"/>
      <c r="C38" s="4"/>
      <c r="D38" s="4"/>
      <c r="E38" s="4"/>
      <c r="F38" s="4"/>
      <c r="G38" s="4"/>
      <c r="H38" s="4"/>
      <c r="I38" s="4"/>
      <c r="J38" s="4"/>
      <c r="K38" s="4"/>
    </row>
    <row r="39" spans="2:11" ht="17" x14ac:dyDescent="0.2">
      <c r="B39" s="4"/>
      <c r="C39" s="4"/>
      <c r="D39" s="4"/>
      <c r="E39" s="4"/>
      <c r="F39" s="4"/>
      <c r="G39" s="4"/>
      <c r="H39" s="4"/>
      <c r="I39" s="4"/>
      <c r="J39" s="4"/>
      <c r="K39" s="4"/>
    </row>
    <row r="40" spans="2:11" ht="17" x14ac:dyDescent="0.2">
      <c r="B40" s="4"/>
      <c r="C40" s="4"/>
      <c r="D40" s="4"/>
      <c r="E40" s="4"/>
      <c r="F40" s="4"/>
      <c r="G40" s="4"/>
      <c r="H40" s="4"/>
      <c r="I40" s="4"/>
      <c r="J40" s="4"/>
      <c r="K40" s="4"/>
    </row>
    <row r="41" spans="2:11" ht="17" x14ac:dyDescent="0.2">
      <c r="B41" s="4"/>
      <c r="C41" s="4"/>
      <c r="D41" s="4"/>
      <c r="E41" s="4"/>
      <c r="F41" s="4"/>
      <c r="G41" s="4"/>
      <c r="H41" s="4"/>
      <c r="I41" s="4"/>
      <c r="J41" s="4"/>
      <c r="K41" s="4"/>
    </row>
    <row r="42" spans="2:11" ht="17" x14ac:dyDescent="0.2">
      <c r="B42" s="4"/>
      <c r="C42" s="4"/>
      <c r="D42" s="4"/>
      <c r="E42" s="4"/>
      <c r="F42" s="4"/>
      <c r="G42" s="4"/>
      <c r="H42" s="4"/>
      <c r="I42" s="4"/>
      <c r="J42" s="4"/>
      <c r="K42" s="4"/>
    </row>
    <row r="43" spans="2:11" ht="17" x14ac:dyDescent="0.2">
      <c r="B43" s="4"/>
      <c r="C43" s="4"/>
      <c r="D43" s="4"/>
      <c r="E43" s="4"/>
      <c r="F43" s="4"/>
      <c r="G43" s="4"/>
      <c r="H43" s="4"/>
      <c r="I43" s="4"/>
      <c r="J43" s="4"/>
      <c r="K43" s="4"/>
    </row>
    <row r="44" spans="2:11" ht="17" x14ac:dyDescent="0.2">
      <c r="B44" s="4"/>
      <c r="C44" s="4"/>
      <c r="D44" s="4"/>
      <c r="E44" s="4"/>
      <c r="F44" s="4"/>
      <c r="G44" s="4"/>
      <c r="H44" s="4"/>
      <c r="I44" s="4"/>
      <c r="J44" s="4"/>
      <c r="K44" s="4"/>
    </row>
    <row r="45" spans="2:11" ht="17" x14ac:dyDescent="0.2">
      <c r="B45" s="4"/>
      <c r="C45" s="4"/>
      <c r="D45" s="4"/>
      <c r="E45" s="4"/>
      <c r="F45" s="4"/>
      <c r="G45" s="4"/>
      <c r="H45" s="4"/>
      <c r="I45" s="4"/>
      <c r="J45" s="4"/>
      <c r="K45" s="4"/>
    </row>
    <row r="46" spans="2:11" ht="17" x14ac:dyDescent="0.2">
      <c r="B46" s="4"/>
      <c r="C46" s="4"/>
      <c r="D46" s="4"/>
      <c r="E46" s="4"/>
      <c r="F46" s="4"/>
      <c r="G46" s="4"/>
      <c r="H46" s="4"/>
      <c r="I46" s="4"/>
      <c r="J46" s="4"/>
      <c r="K46" s="4"/>
    </row>
    <row r="47" spans="2:11" ht="17" x14ac:dyDescent="0.2">
      <c r="B47" s="4"/>
      <c r="C47" s="4"/>
      <c r="D47" s="4"/>
      <c r="E47" s="4"/>
      <c r="F47" s="4"/>
      <c r="G47" s="4"/>
      <c r="H47" s="4"/>
      <c r="I47" s="4"/>
      <c r="J47" s="4"/>
      <c r="K47" s="4"/>
    </row>
    <row r="48" spans="2:11" ht="17" x14ac:dyDescent="0.2">
      <c r="B48" s="4"/>
      <c r="C48" s="4"/>
      <c r="D48" s="4"/>
      <c r="E48" s="4"/>
      <c r="F48" s="4"/>
      <c r="G48" s="4"/>
      <c r="H48" s="4"/>
      <c r="I48" s="4"/>
      <c r="J48" s="4"/>
      <c r="K48" s="4"/>
    </row>
    <row r="49" spans="2:11" ht="17" x14ac:dyDescent="0.2">
      <c r="B49" s="4"/>
      <c r="C49" s="4"/>
      <c r="D49" s="4"/>
      <c r="E49" s="4"/>
      <c r="F49" s="4"/>
      <c r="G49" s="4"/>
      <c r="H49" s="4"/>
      <c r="I49" s="4"/>
      <c r="J49" s="4"/>
      <c r="K49" s="4"/>
    </row>
    <row r="50" spans="2:11" ht="17" x14ac:dyDescent="0.2">
      <c r="B50" s="4"/>
      <c r="C50" s="4"/>
      <c r="D50" s="4"/>
      <c r="E50" s="4"/>
      <c r="F50" s="4"/>
      <c r="G50" s="4"/>
      <c r="H50" s="4"/>
      <c r="I50" s="4"/>
      <c r="J50" s="4"/>
      <c r="K50" s="4"/>
    </row>
    <row r="51" spans="2:11" ht="17" x14ac:dyDescent="0.2">
      <c r="B51" s="4"/>
      <c r="C51" s="4"/>
      <c r="D51" s="4"/>
      <c r="E51" s="4"/>
      <c r="F51" s="4"/>
      <c r="G51" s="4"/>
      <c r="H51" s="4"/>
      <c r="I51" s="4"/>
      <c r="J51" s="4"/>
      <c r="K51" s="4"/>
    </row>
    <row r="52" spans="2:11" ht="17" x14ac:dyDescent="0.2">
      <c r="B52" s="4"/>
      <c r="C52" s="4"/>
      <c r="D52" s="4"/>
      <c r="E52" s="4"/>
      <c r="F52" s="4"/>
      <c r="G52" s="4"/>
      <c r="H52" s="4"/>
      <c r="I52" s="4"/>
      <c r="J52" s="4"/>
      <c r="K52" s="4"/>
    </row>
    <row r="53" spans="2:11" ht="17" x14ac:dyDescent="0.2">
      <c r="B53" s="4"/>
      <c r="C53" s="4"/>
      <c r="D53" s="4"/>
      <c r="E53" s="4"/>
      <c r="F53" s="4"/>
      <c r="G53" s="4"/>
      <c r="H53" s="4"/>
      <c r="I53" s="4"/>
      <c r="J53" s="4"/>
      <c r="K53" s="4"/>
    </row>
    <row r="54" spans="2:11" ht="17" x14ac:dyDescent="0.2">
      <c r="B54" s="4"/>
      <c r="C54" s="4"/>
      <c r="D54" s="4"/>
      <c r="E54" s="4"/>
      <c r="F54" s="4"/>
      <c r="G54" s="4"/>
      <c r="H54" s="4"/>
      <c r="I54" s="4"/>
      <c r="J54" s="4"/>
      <c r="K54" s="4"/>
    </row>
    <row r="55" spans="2:11" ht="17" x14ac:dyDescent="0.2">
      <c r="B55" s="4"/>
      <c r="C55" s="4"/>
      <c r="D55" s="4"/>
      <c r="E55" s="4"/>
      <c r="F55" s="4"/>
      <c r="G55" s="4"/>
      <c r="H55" s="4"/>
      <c r="I55" s="4"/>
      <c r="J55" s="4"/>
      <c r="K55" s="4"/>
    </row>
    <row r="56" spans="2:11" ht="17" x14ac:dyDescent="0.2">
      <c r="B56" s="4"/>
      <c r="C56" s="4"/>
      <c r="D56" s="4"/>
      <c r="E56" s="4"/>
      <c r="F56" s="4"/>
      <c r="G56" s="4"/>
      <c r="H56" s="4"/>
      <c r="I56" s="4"/>
      <c r="J56" s="4"/>
      <c r="K56" s="4"/>
    </row>
  </sheetData>
  <mergeCells count="7">
    <mergeCell ref="B19:H19"/>
    <mergeCell ref="B6:H6"/>
    <mergeCell ref="C8:E8"/>
    <mergeCell ref="F8:H8"/>
    <mergeCell ref="F9:H9"/>
    <mergeCell ref="D9:D10"/>
    <mergeCell ref="E9:E10"/>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6:D24"/>
  <sheetViews>
    <sheetView workbookViewId="0">
      <selection activeCell="D17" sqref="D17"/>
    </sheetView>
  </sheetViews>
  <sheetFormatPr baseColWidth="10" defaultColWidth="8.83203125" defaultRowHeight="15" x14ac:dyDescent="0.2"/>
  <cols>
    <col min="2" max="2" width="43.83203125" customWidth="1"/>
    <col min="3" max="4" width="14" customWidth="1"/>
  </cols>
  <sheetData>
    <row r="6" spans="2:4" ht="17.75" customHeight="1" x14ac:dyDescent="0.2">
      <c r="B6" s="219" t="s">
        <v>145</v>
      </c>
      <c r="C6" s="219"/>
      <c r="D6" s="219"/>
    </row>
    <row r="7" spans="2:4" ht="16" x14ac:dyDescent="0.2">
      <c r="B7" s="149"/>
      <c r="C7" s="220"/>
      <c r="D7" s="220"/>
    </row>
    <row r="8" spans="2:4" ht="35.75" customHeight="1" x14ac:dyDescent="0.2">
      <c r="B8" s="151"/>
      <c r="C8" s="142" t="s">
        <v>49</v>
      </c>
      <c r="D8" s="142" t="s">
        <v>50</v>
      </c>
    </row>
    <row r="9" spans="2:4" ht="17" x14ac:dyDescent="0.2">
      <c r="B9" s="150"/>
      <c r="C9" s="152" t="s">
        <v>23</v>
      </c>
      <c r="D9" s="152" t="s">
        <v>24</v>
      </c>
    </row>
    <row r="10" spans="2:4" ht="23.75" customHeight="1" x14ac:dyDescent="0.2">
      <c r="B10" s="148" t="s">
        <v>51</v>
      </c>
      <c r="C10" s="111">
        <f>VALUE(disc7.5!B5)</f>
        <v>7.9339999999999994E-2</v>
      </c>
      <c r="D10" s="111">
        <f>VALUE(disc7.5!C5)</f>
        <v>7.9339999999999994E-2</v>
      </c>
    </row>
    <row r="11" spans="2:4" ht="23" customHeight="1" x14ac:dyDescent="0.2">
      <c r="B11" s="112" t="s">
        <v>52</v>
      </c>
      <c r="C11" s="111"/>
      <c r="D11" s="111"/>
    </row>
    <row r="12" spans="2:4" ht="19.25" customHeight="1" x14ac:dyDescent="0.2">
      <c r="B12" s="148" t="s">
        <v>53</v>
      </c>
      <c r="C12" s="111">
        <f>VALUE(disc7.5!B7)</f>
        <v>0.94240000000000002</v>
      </c>
      <c r="D12" s="111">
        <f>VALUE(disc7.5!C7)</f>
        <v>0.91300000000000003</v>
      </c>
    </row>
    <row r="13" spans="2:4" ht="19.25" customHeight="1" x14ac:dyDescent="0.2">
      <c r="B13" s="148" t="s">
        <v>54</v>
      </c>
      <c r="C13" s="111">
        <f>VALUE(disc7.5!B8)</f>
        <v>2.5219999999999999E-2</v>
      </c>
      <c r="D13" s="111">
        <f>VALUE(disc7.5!C8)</f>
        <v>2.5780000000000001E-2</v>
      </c>
    </row>
    <row r="14" spans="2:4" ht="19.25" customHeight="1" x14ac:dyDescent="0.2">
      <c r="B14" s="148" t="s">
        <v>55</v>
      </c>
      <c r="C14" s="111">
        <f>VALUE(disc7.5!B9)</f>
        <v>2.197E-2</v>
      </c>
      <c r="D14" s="111">
        <f>VALUE(disc7.5!C9)</f>
        <v>4.3990000000000001E-2</v>
      </c>
    </row>
    <row r="15" spans="2:4" ht="19.25" customHeight="1" x14ac:dyDescent="0.2">
      <c r="B15" s="146" t="s">
        <v>56</v>
      </c>
      <c r="C15" s="111">
        <f>VALUE(disc7.5!B13)</f>
        <v>1.521E-2</v>
      </c>
      <c r="D15" s="111">
        <f>VALUE(disc7.5!C13)</f>
        <v>6.3539999999999999E-2</v>
      </c>
    </row>
    <row r="16" spans="2:4" ht="19.25" customHeight="1" x14ac:dyDescent="0.2">
      <c r="B16" s="146" t="s">
        <v>57</v>
      </c>
      <c r="C16" s="113">
        <f>VALUE(disc7.5!B14)</f>
        <v>-5.8929999999999998E-3</v>
      </c>
      <c r="D16" s="113">
        <f>VALUE(disc7.5!C14)</f>
        <v>-5.4350000000000002E-2</v>
      </c>
    </row>
    <row r="17" spans="2:4" ht="19.25" customHeight="1" x14ac:dyDescent="0.2">
      <c r="B17" s="153" t="s">
        <v>58</v>
      </c>
      <c r="C17" s="115">
        <f>VALUE(disc7.5!B15)</f>
        <v>1.096E-3</v>
      </c>
      <c r="D17" s="115">
        <f>VALUE(disc7.5!C15)</f>
        <v>8.0370000000000007E-3</v>
      </c>
    </row>
    <row r="18" spans="2:4" ht="6.5" customHeight="1" x14ac:dyDescent="0.2">
      <c r="B18" s="148"/>
      <c r="C18" s="146"/>
      <c r="D18" s="154"/>
    </row>
    <row r="19" spans="2:4" x14ac:dyDescent="0.2">
      <c r="B19" s="221" t="s">
        <v>146</v>
      </c>
      <c r="C19" s="221"/>
      <c r="D19" s="221"/>
    </row>
    <row r="20" spans="2:4" x14ac:dyDescent="0.2">
      <c r="B20" s="221"/>
      <c r="C20" s="221"/>
      <c r="D20" s="221"/>
    </row>
    <row r="21" spans="2:4" x14ac:dyDescent="0.2">
      <c r="B21" s="221"/>
      <c r="C21" s="221"/>
      <c r="D21" s="221"/>
    </row>
    <row r="22" spans="2:4" x14ac:dyDescent="0.2">
      <c r="B22" s="221"/>
      <c r="C22" s="221"/>
      <c r="D22" s="221"/>
    </row>
    <row r="23" spans="2:4" ht="28.5" customHeight="1" x14ac:dyDescent="0.2">
      <c r="B23" s="221"/>
      <c r="C23" s="221"/>
      <c r="D23" s="221"/>
    </row>
    <row r="24" spans="2:4" ht="17" x14ac:dyDescent="0.2">
      <c r="B24" s="4"/>
      <c r="C24" s="4"/>
      <c r="D24" s="4"/>
    </row>
  </sheetData>
  <mergeCells count="3">
    <mergeCell ref="B6:D6"/>
    <mergeCell ref="C7:D7"/>
    <mergeCell ref="B19:D23"/>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L47"/>
  <sheetViews>
    <sheetView topLeftCell="A2" workbookViewId="0">
      <selection activeCell="F11" sqref="F11"/>
    </sheetView>
  </sheetViews>
  <sheetFormatPr baseColWidth="10" defaultColWidth="10.83203125" defaultRowHeight="17" x14ac:dyDescent="0.2"/>
  <cols>
    <col min="1" max="1" width="10.83203125" style="4"/>
    <col min="2" max="2" width="3" style="4" customWidth="1"/>
    <col min="3" max="3" width="28" style="4" customWidth="1"/>
    <col min="4" max="6" width="15" style="4" customWidth="1"/>
    <col min="7" max="7" width="13.5" style="4" customWidth="1"/>
    <col min="8" max="9" width="10.83203125" style="4"/>
    <col min="10" max="10" width="12" style="4" customWidth="1"/>
    <col min="11" max="16384" width="10.83203125" style="4"/>
  </cols>
  <sheetData>
    <row r="3" spans="2:10" x14ac:dyDescent="0.2">
      <c r="B3" s="29" t="s">
        <v>148</v>
      </c>
      <c r="C3" s="29"/>
      <c r="D3" s="29"/>
      <c r="E3" s="29"/>
      <c r="F3" s="29"/>
    </row>
    <row r="4" spans="2:10" x14ac:dyDescent="0.2">
      <c r="B4" s="30"/>
      <c r="C4" s="30"/>
      <c r="D4" s="30"/>
      <c r="E4" s="30"/>
      <c r="F4" s="30"/>
    </row>
    <row r="5" spans="2:10" ht="25.25" customHeight="1" x14ac:dyDescent="0.2">
      <c r="B5" s="29"/>
      <c r="C5" s="29"/>
      <c r="D5" s="203" t="s">
        <v>147</v>
      </c>
      <c r="E5" s="203"/>
      <c r="F5" s="203"/>
    </row>
    <row r="6" spans="2:10" ht="38" customHeight="1" x14ac:dyDescent="0.2">
      <c r="B6" s="29"/>
      <c r="C6" s="29"/>
      <c r="D6" s="107" t="s">
        <v>108</v>
      </c>
      <c r="E6" s="107" t="s">
        <v>110</v>
      </c>
      <c r="F6" s="142" t="s">
        <v>208</v>
      </c>
    </row>
    <row r="7" spans="2:10" x14ac:dyDescent="0.2">
      <c r="B7" s="63"/>
      <c r="C7" s="63"/>
      <c r="D7" s="64" t="s">
        <v>22</v>
      </c>
      <c r="E7" s="64" t="s">
        <v>23</v>
      </c>
      <c r="F7" s="64" t="s">
        <v>24</v>
      </c>
      <c r="J7" s="4" t="s">
        <v>124</v>
      </c>
    </row>
    <row r="8" spans="2:10" ht="17" customHeight="1" x14ac:dyDescent="0.2">
      <c r="B8" s="29" t="s">
        <v>108</v>
      </c>
      <c r="C8" s="29"/>
      <c r="D8" s="32">
        <v>1</v>
      </c>
      <c r="E8" s="65">
        <f>VALUE(disc7.6!B10)</f>
        <v>7.5300000000000006E-2</v>
      </c>
      <c r="F8" s="66">
        <f>VALUE(disc7.6!B13)</f>
        <v>1.6830000000000001</v>
      </c>
    </row>
    <row r="9" spans="2:10" ht="17" customHeight="1" x14ac:dyDescent="0.2">
      <c r="B9" s="29"/>
      <c r="C9" s="29"/>
      <c r="D9" s="29"/>
      <c r="E9" s="66">
        <f>VALUE(disc7.6!B11)</f>
        <v>-8.0800000000000004E-3</v>
      </c>
      <c r="F9" s="66">
        <f>VALUE(disc7.6!B14)</f>
        <v>-0.14899999999999999</v>
      </c>
    </row>
    <row r="10" spans="2:10" ht="17" customHeight="1" x14ac:dyDescent="0.2">
      <c r="B10" s="29" t="s">
        <v>112</v>
      </c>
      <c r="C10" s="29"/>
      <c r="D10" s="29"/>
      <c r="E10" s="29"/>
      <c r="F10" s="29"/>
    </row>
    <row r="11" spans="2:10" ht="17" customHeight="1" x14ac:dyDescent="0.2">
      <c r="B11" s="29"/>
      <c r="C11" s="29" t="s">
        <v>109</v>
      </c>
      <c r="D11" s="66">
        <f>VALUE(disc7.6!C6)</f>
        <v>0.499</v>
      </c>
      <c r="E11" s="66">
        <f>VALUE(disc7.6!C10)</f>
        <v>3.9699999999999999E-2</v>
      </c>
      <c r="F11" s="65">
        <f>VALUE(disc7.6!C13)</f>
        <v>0.98199999999999998</v>
      </c>
    </row>
    <row r="12" spans="2:10" ht="17" customHeight="1" x14ac:dyDescent="0.2">
      <c r="B12" s="29"/>
      <c r="C12" s="29"/>
      <c r="D12" s="66">
        <f>VALUE(disc7.6!C7)</f>
        <v>-2.0500000000000001E-2</v>
      </c>
      <c r="E12" s="66">
        <f>VALUE(disc7.6!C11)</f>
        <v>-6.5500000000000003E-3</v>
      </c>
      <c r="F12" s="66">
        <f>VALUE(disc7.6!C14)</f>
        <v>-6.8900000000000003E-2</v>
      </c>
    </row>
    <row r="13" spans="2:10" ht="17" customHeight="1" x14ac:dyDescent="0.2">
      <c r="B13" s="29"/>
      <c r="C13" s="29" t="s">
        <v>113</v>
      </c>
      <c r="D13" s="66">
        <f>VALUE(disc7.6!D6)</f>
        <v>0.48899999999999999</v>
      </c>
      <c r="E13" s="66">
        <f>VALUE(disc7.6!D10)</f>
        <v>3.4000000000000002E-2</v>
      </c>
      <c r="F13" s="65">
        <f>VALUE(disc7.6!D13)</f>
        <v>0.66400000000000003</v>
      </c>
    </row>
    <row r="14" spans="2:10" ht="17" customHeight="1" x14ac:dyDescent="0.2">
      <c r="B14" s="29"/>
      <c r="C14" s="29"/>
      <c r="D14" s="66">
        <f>VALUE(disc7.6!D7)</f>
        <v>-1.8700000000000001E-2</v>
      </c>
      <c r="E14" s="66">
        <f>VALUE(disc7.6!D11)</f>
        <v>-3.0999999999999999E-3</v>
      </c>
      <c r="F14" s="66">
        <f>VALUE(disc7.6!D14)</f>
        <v>-9.8799999999999999E-2</v>
      </c>
    </row>
    <row r="15" spans="2:10" hidden="1" x14ac:dyDescent="0.2">
      <c r="B15" s="29"/>
      <c r="C15" s="29" t="s">
        <v>114</v>
      </c>
      <c r="D15" s="67">
        <f>D11/D8</f>
        <v>0.499</v>
      </c>
      <c r="E15" s="67">
        <f>E11/E8</f>
        <v>0.52722443559096943</v>
      </c>
      <c r="F15" s="67">
        <f>F11/F8</f>
        <v>0.58348187759952463</v>
      </c>
    </row>
    <row r="16" spans="2:10" hidden="1" x14ac:dyDescent="0.2">
      <c r="B16" s="29" t="s">
        <v>115</v>
      </c>
      <c r="C16" s="29"/>
      <c r="D16" s="29"/>
      <c r="E16" s="29"/>
      <c r="F16" s="29"/>
    </row>
    <row r="17" spans="2:6" hidden="1" x14ac:dyDescent="0.2">
      <c r="B17" s="29"/>
      <c r="C17" s="29" t="s">
        <v>116</v>
      </c>
      <c r="D17" s="66">
        <f>VALUE(disc7.6!E6)</f>
        <v>0.24</v>
      </c>
      <c r="E17" s="66">
        <f>VALUE(disc7.6!E10)</f>
        <v>2.5000000000000001E-2</v>
      </c>
      <c r="F17" s="65">
        <f>VALUE(disc7.6!E13)</f>
        <v>0.46600000000000003</v>
      </c>
    </row>
    <row r="18" spans="2:6" hidden="1" x14ac:dyDescent="0.2">
      <c r="B18" s="29"/>
      <c r="C18" s="29"/>
      <c r="D18" s="66">
        <f>VALUE(disc7.6!E7)</f>
        <v>-2.1899999999999999E-2</v>
      </c>
      <c r="E18" s="66">
        <f>VALUE(disc7.6!E11)</f>
        <v>-2.0200000000000001E-3</v>
      </c>
      <c r="F18" s="66">
        <f>VALUE(disc7.6!E14)</f>
        <v>-4.6699999999999998E-2</v>
      </c>
    </row>
    <row r="19" spans="2:6" hidden="1" x14ac:dyDescent="0.2">
      <c r="B19" s="29"/>
      <c r="C19" s="29" t="s">
        <v>117</v>
      </c>
      <c r="D19" s="65">
        <f>VALUE(disc7.6!F6)</f>
        <v>-8.7099999999999997E-2</v>
      </c>
      <c r="E19" s="65">
        <f>VALUE(disc7.6!F10)</f>
        <v>-4.7999999999999996E-3</v>
      </c>
      <c r="F19" s="65">
        <f>VALUE(disc7.6!F13)</f>
        <v>-0.20200000000000001</v>
      </c>
    </row>
    <row r="20" spans="2:6" hidden="1" x14ac:dyDescent="0.2">
      <c r="B20" s="29"/>
      <c r="C20" s="29"/>
      <c r="D20" s="66">
        <f>VALUE(disc7.6!F7)</f>
        <v>-1.24E-2</v>
      </c>
      <c r="E20" s="66">
        <f>VALUE(disc7.6!F11)</f>
        <v>-2.5300000000000001E-3</v>
      </c>
      <c r="F20" s="66">
        <f>VALUE(disc7.6!F14)</f>
        <v>-2.06E-2</v>
      </c>
    </row>
    <row r="21" spans="2:6" hidden="1" x14ac:dyDescent="0.2">
      <c r="B21" s="29"/>
      <c r="C21" s="29" t="s">
        <v>118</v>
      </c>
      <c r="D21" s="65">
        <f>VALUE(disc7.6!G6)</f>
        <v>0.21299999999999999</v>
      </c>
      <c r="E21" s="65">
        <f>VALUE(disc7.6!G10)</f>
        <v>1.8499999999999999E-2</v>
      </c>
      <c r="F21" s="65">
        <f>VALUE(disc7.6!G13)</f>
        <v>0.41399999999999998</v>
      </c>
    </row>
    <row r="22" spans="2:6" hidden="1" x14ac:dyDescent="0.2">
      <c r="B22" s="29"/>
      <c r="C22" s="29"/>
      <c r="D22" s="66">
        <f>VALUE(disc7.6!G7)</f>
        <v>-9.4800000000000006E-3</v>
      </c>
      <c r="E22" s="66">
        <f>VALUE(disc7.6!G11)</f>
        <v>-2.2100000000000002E-3</v>
      </c>
      <c r="F22" s="66">
        <f>VALUE(disc7.6!G14)</f>
        <v>-3.3500000000000002E-2</v>
      </c>
    </row>
    <row r="23" spans="2:6" ht="21.75" customHeight="1" x14ac:dyDescent="0.2">
      <c r="B23" s="29" t="s">
        <v>149</v>
      </c>
      <c r="C23" s="29"/>
      <c r="D23" s="29"/>
      <c r="E23" s="29"/>
      <c r="F23" s="29"/>
    </row>
    <row r="24" spans="2:6" ht="17" customHeight="1" x14ac:dyDescent="0.2">
      <c r="B24" s="29"/>
      <c r="C24" s="29" t="s">
        <v>150</v>
      </c>
      <c r="D24" s="65">
        <f>VALUE(disc7.6!H6)</f>
        <v>0.47499999999999998</v>
      </c>
      <c r="E24" s="65">
        <f>VALUE(disc7.6!H10)</f>
        <v>3.6999999999999998E-2</v>
      </c>
      <c r="F24" s="65">
        <f>VALUE(disc7.6!H13)</f>
        <v>0.73299999999999998</v>
      </c>
    </row>
    <row r="25" spans="2:6" ht="17" customHeight="1" x14ac:dyDescent="0.2">
      <c r="B25" s="29"/>
      <c r="C25" s="29" t="s">
        <v>151</v>
      </c>
      <c r="D25" s="66">
        <f>VALUE(disc7.6!H7)</f>
        <v>-1.8800000000000001E-2</v>
      </c>
      <c r="E25" s="66">
        <f>VALUE(disc7.6!H11)</f>
        <v>-2.6199999999999999E-3</v>
      </c>
      <c r="F25" s="66">
        <f>VALUE(disc7.6!H14)</f>
        <v>-8.9399999999999993E-2</v>
      </c>
    </row>
    <row r="26" spans="2:6" ht="21.75" customHeight="1" x14ac:dyDescent="0.2">
      <c r="B26" s="29"/>
      <c r="C26" s="29" t="s">
        <v>152</v>
      </c>
      <c r="D26" s="65">
        <f>VALUE(disc7.6!I6)</f>
        <v>1.8100000000000002E-2</v>
      </c>
      <c r="E26" s="68">
        <f>VALUE(disc7.6!I10)</f>
        <v>3.6900000000000002E-5</v>
      </c>
      <c r="F26" s="65">
        <f>VALUE(disc7.6!I13)</f>
        <v>-9.5300000000000003E-3</v>
      </c>
    </row>
    <row r="27" spans="2:6" ht="17" customHeight="1" x14ac:dyDescent="0.2">
      <c r="B27" s="29"/>
      <c r="C27" s="29" t="s">
        <v>153</v>
      </c>
      <c r="D27" s="66">
        <f>VALUE(disc7.6!I7)</f>
        <v>-6.4099999999999999E-3</v>
      </c>
      <c r="E27" s="69">
        <f>VALUE(disc7.6!I11)</f>
        <v>-4.0200000000000001E-4</v>
      </c>
      <c r="F27" s="66">
        <f>VALUE(disc7.6!I14)</f>
        <v>-1.2500000000000001E-2</v>
      </c>
    </row>
    <row r="28" spans="2:6" ht="22.25" customHeight="1" x14ac:dyDescent="0.2">
      <c r="B28" s="29"/>
      <c r="C28" s="29" t="s">
        <v>154</v>
      </c>
      <c r="D28" s="65">
        <f>VALUE(disc7.6!J6)</f>
        <v>-4.45E-3</v>
      </c>
      <c r="E28" s="65">
        <f>VALUE(disc7.6!J10)</f>
        <v>-3.13E-3</v>
      </c>
      <c r="F28" s="65">
        <f>VALUE(disc7.6!J13)</f>
        <v>-5.9400000000000001E-2</v>
      </c>
    </row>
    <row r="29" spans="2:6" ht="17" customHeight="1" x14ac:dyDescent="0.2">
      <c r="B29" s="30"/>
      <c r="C29" s="30" t="s">
        <v>155</v>
      </c>
      <c r="D29" s="70">
        <f>VALUE(disc7.6!J7)</f>
        <v>-8.3999999999999995E-3</v>
      </c>
      <c r="E29" s="70">
        <f>VALUE(disc7.6!J11)</f>
        <v>-8.3199999999999995E-4</v>
      </c>
      <c r="F29" s="70">
        <f>VALUE(disc7.6!J14)</f>
        <v>-1.4500000000000001E-2</v>
      </c>
    </row>
    <row r="30" spans="2:6" hidden="1" x14ac:dyDescent="0.2">
      <c r="B30" s="29" t="s">
        <v>121</v>
      </c>
      <c r="C30" s="29"/>
      <c r="D30" s="29"/>
      <c r="E30" s="29"/>
      <c r="F30" s="29"/>
    </row>
    <row r="31" spans="2:6" hidden="1" x14ac:dyDescent="0.2">
      <c r="B31" s="29"/>
      <c r="C31" s="29" t="s">
        <v>122</v>
      </c>
      <c r="D31" s="65">
        <f>VALUE(disc7.6!K6)</f>
        <v>0.45100000000000001</v>
      </c>
      <c r="E31" s="65">
        <f>VALUE(disc7.6!K10)</f>
        <v>3.9399999999999998E-2</v>
      </c>
      <c r="F31" s="65">
        <f>VALUE(disc7.6!K13)</f>
        <v>0.85</v>
      </c>
    </row>
    <row r="32" spans="2:6" hidden="1" x14ac:dyDescent="0.2">
      <c r="B32" s="30"/>
      <c r="C32" s="30"/>
      <c r="D32" s="70">
        <f>VALUE(disc7.6!K7)</f>
        <v>-2.5100000000000001E-2</v>
      </c>
      <c r="E32" s="70">
        <f>VALUE(disc7.6!K11)</f>
        <v>-3.5400000000000002E-3</v>
      </c>
      <c r="F32" s="70">
        <f>VALUE(disc7.6!K14)</f>
        <v>-5.67E-2</v>
      </c>
    </row>
    <row r="33" spans="2:12" hidden="1" x14ac:dyDescent="0.2">
      <c r="B33" s="29"/>
      <c r="C33" s="29"/>
      <c r="D33" s="29"/>
      <c r="E33" s="29"/>
      <c r="F33" s="29"/>
    </row>
    <row r="34" spans="2:12" hidden="1" x14ac:dyDescent="0.2">
      <c r="B34" s="222"/>
      <c r="C34" s="65"/>
      <c r="D34" s="29"/>
      <c r="E34" s="29"/>
      <c r="F34" s="29"/>
    </row>
    <row r="35" spans="2:12" hidden="1" x14ac:dyDescent="0.2">
      <c r="B35" s="192"/>
      <c r="C35" s="65"/>
      <c r="D35" s="29"/>
      <c r="E35" s="29"/>
      <c r="F35" s="29"/>
    </row>
    <row r="36" spans="2:12" hidden="1" x14ac:dyDescent="0.2">
      <c r="B36" s="105"/>
      <c r="C36" s="29" t="s">
        <v>155</v>
      </c>
      <c r="D36" s="29"/>
      <c r="E36" s="29"/>
      <c r="F36" s="29"/>
    </row>
    <row r="37" spans="2:12" hidden="1" x14ac:dyDescent="0.2">
      <c r="B37" s="105"/>
      <c r="C37" s="29"/>
      <c r="D37" s="29"/>
      <c r="E37" s="29"/>
      <c r="F37" s="29"/>
    </row>
    <row r="38" spans="2:12" hidden="1" x14ac:dyDescent="0.2">
      <c r="B38" s="192"/>
      <c r="C38" s="29"/>
      <c r="D38" s="29"/>
      <c r="E38" s="29"/>
      <c r="F38" s="29"/>
    </row>
    <row r="39" spans="2:12" hidden="1" x14ac:dyDescent="0.2">
      <c r="B39" s="192"/>
      <c r="C39" s="29"/>
      <c r="D39" s="29"/>
      <c r="E39" s="29"/>
      <c r="F39" s="29"/>
    </row>
    <row r="40" spans="2:12" hidden="1" x14ac:dyDescent="0.2">
      <c r="B40" s="222"/>
      <c r="C40" s="65"/>
      <c r="D40" s="66"/>
      <c r="E40" s="66"/>
      <c r="F40" s="66"/>
      <c r="G40" s="11"/>
      <c r="H40" s="11"/>
      <c r="I40" s="11"/>
      <c r="J40" s="11"/>
      <c r="K40" s="11"/>
      <c r="L40" s="11"/>
    </row>
    <row r="41" spans="2:12" hidden="1" x14ac:dyDescent="0.2">
      <c r="B41" s="192"/>
      <c r="C41" s="65"/>
      <c r="D41" s="66"/>
      <c r="E41" s="66"/>
      <c r="F41" s="66"/>
      <c r="G41" s="12"/>
      <c r="H41" s="12"/>
      <c r="I41" s="12"/>
      <c r="J41" s="12"/>
      <c r="K41" s="12"/>
      <c r="L41" s="12"/>
    </row>
    <row r="42" spans="2:12" ht="8.25" customHeight="1" x14ac:dyDescent="0.2">
      <c r="B42" s="105"/>
      <c r="C42" s="65"/>
      <c r="D42" s="66"/>
      <c r="E42" s="66"/>
      <c r="F42" s="66"/>
      <c r="G42" s="11"/>
      <c r="H42" s="11"/>
      <c r="I42" s="11"/>
      <c r="J42" s="11"/>
      <c r="K42" s="11"/>
      <c r="L42" s="11"/>
    </row>
    <row r="43" spans="2:12" ht="73" customHeight="1" x14ac:dyDescent="0.2">
      <c r="B43" s="202" t="s">
        <v>200</v>
      </c>
      <c r="C43" s="202"/>
      <c r="D43" s="202"/>
      <c r="E43" s="202"/>
      <c r="F43" s="202"/>
      <c r="G43" s="12"/>
      <c r="H43" s="12"/>
      <c r="I43" s="12"/>
      <c r="J43" s="12"/>
      <c r="K43" s="12"/>
      <c r="L43" s="12"/>
    </row>
    <row r="44" spans="2:12" ht="17" customHeight="1" x14ac:dyDescent="0.2">
      <c r="B44" s="133"/>
      <c r="C44" s="133"/>
      <c r="D44" s="133"/>
      <c r="E44" s="133"/>
      <c r="F44" s="133"/>
      <c r="G44" s="11"/>
      <c r="H44" s="11"/>
      <c r="I44" s="11"/>
      <c r="J44" s="11"/>
      <c r="K44" s="11"/>
      <c r="L44" s="11"/>
    </row>
    <row r="45" spans="2:12" ht="17" customHeight="1" x14ac:dyDescent="0.2">
      <c r="B45" s="133"/>
      <c r="C45" s="133"/>
      <c r="D45" s="133"/>
      <c r="E45" s="133"/>
      <c r="F45" s="133"/>
      <c r="G45" s="12"/>
      <c r="H45" s="12"/>
      <c r="I45" s="12"/>
      <c r="J45" s="12"/>
      <c r="K45" s="12"/>
      <c r="L45" s="12"/>
    </row>
    <row r="46" spans="2:12" ht="17" customHeight="1" x14ac:dyDescent="0.2">
      <c r="B46" s="133"/>
      <c r="C46" s="133"/>
      <c r="D46" s="133"/>
      <c r="E46" s="133"/>
      <c r="F46" s="133"/>
    </row>
    <row r="47" spans="2:12" ht="17" customHeight="1" x14ac:dyDescent="0.2">
      <c r="B47" s="133"/>
      <c r="C47" s="133"/>
      <c r="D47" s="133"/>
      <c r="E47" s="133"/>
      <c r="F47" s="133"/>
    </row>
  </sheetData>
  <mergeCells count="5">
    <mergeCell ref="D5:F5"/>
    <mergeCell ref="B34:B35"/>
    <mergeCell ref="B38:B39"/>
    <mergeCell ref="B40:B41"/>
    <mergeCell ref="B43:F43"/>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3:N26"/>
  <sheetViews>
    <sheetView workbookViewId="0">
      <selection activeCell="H9" sqref="H9"/>
    </sheetView>
  </sheetViews>
  <sheetFormatPr baseColWidth="10" defaultColWidth="10.83203125" defaultRowHeight="19" x14ac:dyDescent="0.25"/>
  <cols>
    <col min="1" max="1" width="10.83203125" style="3"/>
    <col min="2" max="2" width="2" style="3" customWidth="1"/>
    <col min="3" max="3" width="2.83203125" style="3" customWidth="1"/>
    <col min="4" max="4" width="20.33203125" style="3" customWidth="1"/>
    <col min="5" max="5" width="11.33203125" style="3" customWidth="1"/>
    <col min="6" max="6" width="7.1640625" style="3" customWidth="1"/>
    <col min="7" max="7" width="2.1640625" style="3" customWidth="1"/>
    <col min="8" max="8" width="10.83203125" style="3"/>
    <col min="9" max="9" width="7.1640625" style="3" customWidth="1"/>
    <col min="10" max="10" width="2" style="3" customWidth="1"/>
    <col min="11" max="11" width="12.1640625" style="3" customWidth="1"/>
    <col min="12" max="12" width="5.83203125" style="3" bestFit="1" customWidth="1"/>
    <col min="13" max="16384" width="10.83203125" style="3"/>
  </cols>
  <sheetData>
    <row r="3" spans="2:14" x14ac:dyDescent="0.25">
      <c r="B3" s="29" t="s">
        <v>158</v>
      </c>
      <c r="C3" s="29"/>
      <c r="D3" s="29"/>
      <c r="E3" s="29"/>
      <c r="F3" s="29"/>
      <c r="G3" s="29"/>
      <c r="H3" s="29"/>
      <c r="I3" s="29"/>
      <c r="J3" s="29"/>
      <c r="K3" s="29"/>
      <c r="L3" s="29"/>
    </row>
    <row r="4" spans="2:14" ht="7.25" customHeight="1" x14ac:dyDescent="0.25">
      <c r="B4" s="29"/>
      <c r="C4" s="29"/>
      <c r="D4" s="29"/>
      <c r="E4" s="29"/>
      <c r="F4" s="29"/>
      <c r="G4" s="29"/>
      <c r="H4" s="29"/>
      <c r="I4" s="29"/>
      <c r="J4" s="29"/>
      <c r="K4" s="29"/>
      <c r="L4" s="29"/>
    </row>
    <row r="5" spans="2:14" ht="6.5" customHeight="1" x14ac:dyDescent="0.25">
      <c r="B5" s="30"/>
      <c r="C5" s="30"/>
      <c r="D5" s="30"/>
      <c r="E5" s="30"/>
      <c r="F5" s="30"/>
      <c r="G5" s="30"/>
      <c r="H5" s="30"/>
      <c r="I5" s="30"/>
      <c r="J5" s="30"/>
      <c r="K5" s="29"/>
      <c r="L5" s="29"/>
    </row>
    <row r="6" spans="2:14" ht="50" customHeight="1" x14ac:dyDescent="0.25">
      <c r="B6" s="29"/>
      <c r="C6" s="29"/>
      <c r="D6" s="29"/>
      <c r="E6" s="218" t="s">
        <v>78</v>
      </c>
      <c r="F6" s="218"/>
      <c r="G6" s="105"/>
      <c r="H6" s="218" t="s">
        <v>79</v>
      </c>
      <c r="I6" s="218"/>
      <c r="J6" s="106"/>
      <c r="K6" s="223" t="s">
        <v>125</v>
      </c>
      <c r="L6" s="223"/>
      <c r="N6" s="13"/>
    </row>
    <row r="7" spans="2:14" x14ac:dyDescent="0.25">
      <c r="B7" s="29"/>
      <c r="C7" s="29"/>
      <c r="D7" s="29"/>
      <c r="E7" s="46" t="s">
        <v>159</v>
      </c>
      <c r="F7" s="46" t="s">
        <v>67</v>
      </c>
      <c r="G7" s="32"/>
      <c r="H7" s="46" t="s">
        <v>159</v>
      </c>
      <c r="I7" s="45" t="s">
        <v>67</v>
      </c>
      <c r="J7" s="32"/>
      <c r="K7" s="46" t="s">
        <v>159</v>
      </c>
      <c r="L7" s="45" t="s">
        <v>67</v>
      </c>
    </row>
    <row r="8" spans="2:14" x14ac:dyDescent="0.25">
      <c r="B8" s="29"/>
      <c r="C8" s="29"/>
      <c r="D8" s="29"/>
      <c r="E8" s="64" t="s">
        <v>22</v>
      </c>
      <c r="F8" s="64" t="s">
        <v>23</v>
      </c>
      <c r="G8" s="64"/>
      <c r="H8" s="64" t="s">
        <v>24</v>
      </c>
      <c r="I8" s="64" t="s">
        <v>25</v>
      </c>
      <c r="J8" s="64"/>
      <c r="K8" s="64" t="s">
        <v>26</v>
      </c>
      <c r="L8" s="64" t="s">
        <v>85</v>
      </c>
    </row>
    <row r="9" spans="2:14" x14ac:dyDescent="0.25">
      <c r="B9" s="192" t="s">
        <v>80</v>
      </c>
      <c r="C9" s="192"/>
      <c r="D9" s="192"/>
      <c r="E9" s="65">
        <f>VALUE(disc7.16!B7)</f>
        <v>3.8899999999999997E-2</v>
      </c>
      <c r="F9" s="116">
        <f>E9/E$9</f>
        <v>1</v>
      </c>
      <c r="G9" s="29"/>
      <c r="H9" s="65">
        <f>VALUE(disc7.16!E7)</f>
        <v>0.10199999999999999</v>
      </c>
      <c r="I9" s="116">
        <f>H9/H$9</f>
        <v>1</v>
      </c>
      <c r="J9" s="29"/>
      <c r="K9" s="65">
        <f>H9-E9</f>
        <v>6.3099999999999989E-2</v>
      </c>
      <c r="L9" s="116">
        <f>K9/K$9</f>
        <v>1</v>
      </c>
    </row>
    <row r="10" spans="2:14" x14ac:dyDescent="0.25">
      <c r="B10" s="192"/>
      <c r="C10" s="192"/>
      <c r="D10" s="192"/>
      <c r="E10" s="66">
        <f>VALUE(disc7.16!B8)</f>
        <v>-5.5500000000000002E-3</v>
      </c>
      <c r="F10" s="29"/>
      <c r="G10" s="29"/>
      <c r="H10" s="66">
        <f>VALUE(disc7.16!E8)</f>
        <v>-8.26E-3</v>
      </c>
      <c r="I10" s="29"/>
      <c r="J10" s="29"/>
      <c r="K10" s="66">
        <f>-1*SQRT(E10^2+H10^2)</f>
        <v>-9.9513868380241358E-3</v>
      </c>
      <c r="L10" s="29"/>
    </row>
    <row r="11" spans="2:14" x14ac:dyDescent="0.25">
      <c r="B11" s="29" t="s">
        <v>61</v>
      </c>
      <c r="C11" s="29"/>
      <c r="D11" s="29"/>
      <c r="E11" s="29"/>
      <c r="F11" s="29"/>
      <c r="G11" s="29"/>
      <c r="H11" s="29"/>
      <c r="I11" s="29"/>
      <c r="J11" s="29"/>
      <c r="K11" s="29"/>
      <c r="L11" s="29"/>
    </row>
    <row r="12" spans="2:14" x14ac:dyDescent="0.25">
      <c r="B12" s="29"/>
      <c r="C12" s="29" t="s">
        <v>109</v>
      </c>
      <c r="D12" s="29"/>
      <c r="E12" s="65">
        <f>VALUE(disc7.16!C7)</f>
        <v>1.6899999999999998E-2</v>
      </c>
      <c r="F12" s="116">
        <f>E12/E$9</f>
        <v>0.43444730077120819</v>
      </c>
      <c r="G12" s="116"/>
      <c r="H12" s="65">
        <f>VALUE(disc7.16!F7)</f>
        <v>5.7799999999999997E-2</v>
      </c>
      <c r="I12" s="116">
        <f>H12/H$9</f>
        <v>0.56666666666666665</v>
      </c>
      <c r="J12" s="29"/>
      <c r="K12" s="65">
        <f>H12-E12</f>
        <v>4.0899999999999999E-2</v>
      </c>
      <c r="L12" s="116">
        <f>K12/K$9</f>
        <v>0.64817749603803498</v>
      </c>
      <c r="M12" s="19"/>
    </row>
    <row r="13" spans="2:14" x14ac:dyDescent="0.25">
      <c r="B13" s="29"/>
      <c r="C13" s="29" t="s">
        <v>161</v>
      </c>
      <c r="D13" s="29"/>
      <c r="E13" s="66">
        <f>VALUE(disc7.16!C8)</f>
        <v>-5.4099999999999999E-3</v>
      </c>
      <c r="F13" s="29"/>
      <c r="G13" s="29"/>
      <c r="H13" s="66">
        <f>VALUE(disc7.16!F8)</f>
        <v>-6.4700000000000001E-3</v>
      </c>
      <c r="I13" s="29"/>
      <c r="J13" s="29"/>
      <c r="K13" s="66">
        <f>-1*SQRT(E13^2+H13^2)</f>
        <v>-8.4338010410490473E-3</v>
      </c>
      <c r="L13" s="29"/>
    </row>
    <row r="14" spans="2:14" x14ac:dyDescent="0.25">
      <c r="B14" s="29"/>
      <c r="C14" s="29" t="s">
        <v>162</v>
      </c>
      <c r="D14" s="29"/>
      <c r="E14" s="65">
        <f>VALUE(disc7.16!D7)</f>
        <v>1.9900000000000001E-2</v>
      </c>
      <c r="F14" s="116">
        <f>E14/E$9</f>
        <v>0.51156812339331625</v>
      </c>
      <c r="G14" s="116"/>
      <c r="H14" s="65">
        <f>VALUE(disc7.16!G7)</f>
        <v>4.2500000000000003E-2</v>
      </c>
      <c r="I14" s="116">
        <f>H14/H$9</f>
        <v>0.41666666666666674</v>
      </c>
      <c r="J14" s="29"/>
      <c r="K14" s="65">
        <f>H14-E14</f>
        <v>2.2600000000000002E-2</v>
      </c>
      <c r="L14" s="116">
        <f>K14/K$9</f>
        <v>0.35816164817749613</v>
      </c>
      <c r="M14" s="19"/>
    </row>
    <row r="15" spans="2:14" x14ac:dyDescent="0.25">
      <c r="B15" s="30"/>
      <c r="C15" s="30" t="s">
        <v>163</v>
      </c>
      <c r="D15" s="30"/>
      <c r="E15" s="70">
        <f>VALUE(disc7.16!D8)</f>
        <v>-2.0600000000000002E-3</v>
      </c>
      <c r="F15" s="30"/>
      <c r="G15" s="30"/>
      <c r="H15" s="70">
        <f>VALUE(disc7.16!G8)</f>
        <v>-3.2399999999999998E-3</v>
      </c>
      <c r="I15" s="30"/>
      <c r="J15" s="30"/>
      <c r="K15" s="70">
        <f>-1*SQRT(E15^2+H15^2)</f>
        <v>-3.839427040588218E-3</v>
      </c>
      <c r="L15" s="30"/>
    </row>
    <row r="16" spans="2:14" ht="7.5" customHeight="1" x14ac:dyDescent="0.25">
      <c r="B16" s="29"/>
      <c r="C16" s="29"/>
      <c r="D16" s="29"/>
      <c r="E16" s="29"/>
      <c r="F16" s="29"/>
      <c r="G16" s="29"/>
      <c r="H16" s="29"/>
      <c r="I16" s="29"/>
      <c r="J16" s="29"/>
      <c r="K16" s="29"/>
      <c r="L16" s="29"/>
    </row>
    <row r="17" spans="2:12" ht="107" customHeight="1" x14ac:dyDescent="0.25">
      <c r="B17" s="202" t="s">
        <v>215</v>
      </c>
      <c r="C17" s="202"/>
      <c r="D17" s="202"/>
      <c r="E17" s="202"/>
      <c r="F17" s="202"/>
      <c r="G17" s="202"/>
      <c r="H17" s="202"/>
      <c r="I17" s="202"/>
      <c r="J17" s="202"/>
      <c r="K17" s="202"/>
      <c r="L17" s="202"/>
    </row>
    <row r="20" spans="2:12" x14ac:dyDescent="0.25">
      <c r="J20" s="14"/>
    </row>
    <row r="21" spans="2:12" x14ac:dyDescent="0.25">
      <c r="J21" s="15"/>
    </row>
    <row r="23" spans="2:12" x14ac:dyDescent="0.25">
      <c r="J23" s="14"/>
      <c r="K23" s="19"/>
    </row>
    <row r="24" spans="2:12" x14ac:dyDescent="0.25">
      <c r="J24" s="15"/>
    </row>
    <row r="25" spans="2:12" x14ac:dyDescent="0.25">
      <c r="J25" s="14"/>
      <c r="K25" s="19"/>
    </row>
    <row r="26" spans="2:12" x14ac:dyDescent="0.25">
      <c r="J26" s="15"/>
    </row>
  </sheetData>
  <mergeCells count="5">
    <mergeCell ref="E6:F6"/>
    <mergeCell ref="H6:I6"/>
    <mergeCell ref="B9:D10"/>
    <mergeCell ref="K6:L6"/>
    <mergeCell ref="B17:L17"/>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K28"/>
  <sheetViews>
    <sheetView workbookViewId="0">
      <selection activeCell="G9" sqref="G9"/>
    </sheetView>
  </sheetViews>
  <sheetFormatPr baseColWidth="10" defaultColWidth="8.83203125" defaultRowHeight="16" x14ac:dyDescent="0.2"/>
  <cols>
    <col min="1" max="1" width="3.33203125" style="29" customWidth="1"/>
    <col min="2" max="2" width="2.33203125" style="29" customWidth="1"/>
    <col min="3" max="3" width="24.83203125" style="29" customWidth="1"/>
    <col min="4" max="4" width="13.1640625" style="29" customWidth="1"/>
    <col min="5" max="5" width="11.1640625" style="29" customWidth="1"/>
    <col min="6" max="6" width="2" style="29" customWidth="1"/>
    <col min="7" max="7" width="11.6640625" style="29" customWidth="1"/>
    <col min="8" max="8" width="10.33203125" style="29" customWidth="1"/>
    <col min="9" max="16384" width="8.83203125" style="29"/>
  </cols>
  <sheetData>
    <row r="3" spans="1:8" x14ac:dyDescent="0.2">
      <c r="A3" s="29" t="s">
        <v>164</v>
      </c>
    </row>
    <row r="4" spans="1:8" x14ac:dyDescent="0.2">
      <c r="B4" s="30"/>
      <c r="C4" s="30"/>
      <c r="D4" s="30"/>
      <c r="E4" s="30"/>
      <c r="F4" s="30"/>
      <c r="G4" s="30"/>
      <c r="H4" s="30"/>
    </row>
    <row r="5" spans="1:8" x14ac:dyDescent="0.2">
      <c r="A5" s="117"/>
      <c r="D5" s="203" t="s">
        <v>165</v>
      </c>
      <c r="E5" s="203"/>
      <c r="F5" s="203"/>
      <c r="G5" s="203"/>
      <c r="H5" s="203"/>
    </row>
    <row r="6" spans="1:8" x14ac:dyDescent="0.2">
      <c r="D6" s="225" t="s">
        <v>59</v>
      </c>
      <c r="E6" s="225"/>
      <c r="G6" s="225" t="s">
        <v>60</v>
      </c>
      <c r="H6" s="225"/>
    </row>
    <row r="7" spans="1:8" x14ac:dyDescent="0.2">
      <c r="D7" s="46" t="s">
        <v>159</v>
      </c>
      <c r="E7" s="46" t="s">
        <v>67</v>
      </c>
      <c r="F7" s="32"/>
      <c r="G7" s="46" t="s">
        <v>159</v>
      </c>
      <c r="H7" s="45" t="s">
        <v>67</v>
      </c>
    </row>
    <row r="8" spans="1:8" ht="17" x14ac:dyDescent="0.2">
      <c r="A8" s="30"/>
      <c r="B8" s="30"/>
      <c r="C8" s="30"/>
      <c r="D8" s="64" t="s">
        <v>22</v>
      </c>
      <c r="E8" s="64" t="s">
        <v>23</v>
      </c>
      <c r="F8" s="64"/>
      <c r="G8" s="64" t="s">
        <v>24</v>
      </c>
      <c r="H8" s="64" t="s">
        <v>25</v>
      </c>
    </row>
    <row r="9" spans="1:8" x14ac:dyDescent="0.2">
      <c r="A9" s="192" t="s">
        <v>69</v>
      </c>
      <c r="B9" s="192"/>
      <c r="C9" s="192"/>
      <c r="D9" s="168">
        <f>VALUE(disc7.14!B7)</f>
        <v>0.628</v>
      </c>
      <c r="E9" s="169">
        <v>1</v>
      </c>
      <c r="F9" s="143"/>
      <c r="G9" s="168">
        <f>VALUE(disc7.14!B10)</f>
        <v>5.9900000000000002E-2</v>
      </c>
      <c r="H9" s="169">
        <v>1</v>
      </c>
    </row>
    <row r="10" spans="1:8" ht="16" customHeight="1" x14ac:dyDescent="0.2">
      <c r="A10" s="192"/>
      <c r="B10" s="192"/>
      <c r="C10" s="192"/>
      <c r="D10" s="170">
        <f>VALUE(disc7.14!B8)</f>
        <v>-4.87E-2</v>
      </c>
      <c r="E10" s="143"/>
      <c r="F10" s="143"/>
      <c r="G10" s="170">
        <f>VALUE(disc7.14!B11)</f>
        <v>-2.8400000000000001E-3</v>
      </c>
      <c r="H10" s="143"/>
    </row>
    <row r="11" spans="1:8" ht="16" customHeight="1" x14ac:dyDescent="0.2">
      <c r="A11" s="29" t="s">
        <v>61</v>
      </c>
      <c r="D11" s="143"/>
      <c r="E11" s="143"/>
      <c r="F11" s="143"/>
      <c r="G11" s="143"/>
      <c r="H11" s="143"/>
    </row>
    <row r="12" spans="1:8" ht="16" customHeight="1" x14ac:dyDescent="0.2">
      <c r="B12" s="29" t="s">
        <v>28</v>
      </c>
      <c r="D12" s="168">
        <f>VALUE(disc7.14!D7)</f>
        <v>0.39800000000000002</v>
      </c>
      <c r="E12" s="169">
        <v>0.63375796178343957</v>
      </c>
      <c r="F12" s="143"/>
      <c r="G12" s="168">
        <f>VALUE(disc7.14!D10)</f>
        <v>4.0899999999999999E-2</v>
      </c>
      <c r="H12" s="169">
        <v>0.68280467445742898</v>
      </c>
    </row>
    <row r="13" spans="1:8" ht="16" customHeight="1" x14ac:dyDescent="0.2">
      <c r="D13" s="170">
        <f>VALUE(disc7.14!D8)</f>
        <v>-3.3599999999999998E-2</v>
      </c>
      <c r="E13" s="143"/>
      <c r="F13" s="143"/>
      <c r="G13" s="170">
        <f>VALUE(disc7.14!D11)</f>
        <v>-1.74E-3</v>
      </c>
      <c r="H13" s="143"/>
    </row>
    <row r="14" spans="1:8" ht="16" customHeight="1" x14ac:dyDescent="0.2">
      <c r="B14" s="217" t="s">
        <v>166</v>
      </c>
      <c r="C14" s="217"/>
      <c r="D14" s="170">
        <f>VALUE(disc9.5!B9)</f>
        <v>0.23300000000000001</v>
      </c>
      <c r="E14" s="171">
        <f>+D14/D9</f>
        <v>0.37101910828025481</v>
      </c>
      <c r="F14" s="143"/>
      <c r="G14" s="170">
        <f>VALUE(disc9.5!B13)</f>
        <v>1.9800000000000002E-2</v>
      </c>
      <c r="H14" s="171">
        <f>+G14/G9</f>
        <v>0.330550918196995</v>
      </c>
    </row>
    <row r="15" spans="1:8" ht="16" customHeight="1" x14ac:dyDescent="0.2">
      <c r="B15" s="29" t="s">
        <v>167</v>
      </c>
      <c r="D15" s="170">
        <f>VALUE(disc9.5!B10)</f>
        <v>-1.7100000000000001E-2</v>
      </c>
      <c r="E15" s="143"/>
      <c r="F15" s="143"/>
      <c r="G15" s="170">
        <f>VALUE(disc9.5!B14)</f>
        <v>-1.23E-3</v>
      </c>
      <c r="H15" s="143"/>
    </row>
    <row r="16" spans="1:8" ht="16" customHeight="1" x14ac:dyDescent="0.2">
      <c r="B16" s="29" t="s">
        <v>66</v>
      </c>
      <c r="D16" s="168">
        <f>VALUE(disc7.14!G7)</f>
        <v>-3.32E-3</v>
      </c>
      <c r="E16" s="169">
        <v>-5.2866242038216559E-3</v>
      </c>
      <c r="F16" s="143"/>
      <c r="G16" s="168">
        <f>VALUE(disc7.14!G10)</f>
        <v>-8.0900000000000004E-4</v>
      </c>
      <c r="H16" s="169">
        <v>-1.3505843071786311E-2</v>
      </c>
    </row>
    <row r="17" spans="1:11" ht="16" customHeight="1" x14ac:dyDescent="0.2">
      <c r="D17" s="170">
        <f>VALUE(disc7.14!G8)</f>
        <v>-2.6900000000000001E-3</v>
      </c>
      <c r="E17" s="143"/>
      <c r="F17" s="143"/>
      <c r="G17" s="170">
        <f>VALUE(disc7.14!G11)</f>
        <v>-4.3399999999999998E-4</v>
      </c>
      <c r="H17" s="143"/>
    </row>
    <row r="18" spans="1:11" ht="16" customHeight="1" x14ac:dyDescent="0.2">
      <c r="B18" s="29" t="s">
        <v>63</v>
      </c>
      <c r="D18" s="143"/>
      <c r="E18" s="172"/>
      <c r="F18" s="143"/>
      <c r="G18" s="143"/>
      <c r="H18" s="172"/>
    </row>
    <row r="19" spans="1:11" ht="16" customHeight="1" x14ac:dyDescent="0.2">
      <c r="C19" s="29" t="s">
        <v>62</v>
      </c>
      <c r="D19" s="168">
        <f>VALUE(disc7.14!C7)</f>
        <v>7.4099999999999999E-2</v>
      </c>
      <c r="E19" s="171">
        <v>0.11799363057324841</v>
      </c>
      <c r="F19" s="143"/>
      <c r="G19" s="168">
        <f>VALUE(disc7.14!C10)</f>
        <v>6.7000000000000002E-3</v>
      </c>
      <c r="H19" s="171">
        <v>0.11185308848080133</v>
      </c>
    </row>
    <row r="20" spans="1:11" ht="16" customHeight="1" x14ac:dyDescent="0.2">
      <c r="D20" s="170">
        <f>VALUE(disc7.14!C8)</f>
        <v>-9.41E-3</v>
      </c>
      <c r="E20" s="171"/>
      <c r="F20" s="143"/>
      <c r="G20" s="170">
        <f>VALUE(disc7.14!C11)</f>
        <v>-4.4099999999999999E-4</v>
      </c>
      <c r="H20" s="171"/>
    </row>
    <row r="21" spans="1:11" ht="16" customHeight="1" x14ac:dyDescent="0.2">
      <c r="C21" s="29" t="s">
        <v>64</v>
      </c>
      <c r="D21" s="168">
        <f>VALUE(disc7.14!E7)</f>
        <v>0.16500000000000001</v>
      </c>
      <c r="E21" s="171">
        <v>0.26273885350318471</v>
      </c>
      <c r="F21" s="143"/>
      <c r="G21" s="168">
        <f>VALUE(disc7.14!E10)</f>
        <v>1.3299999999999999E-2</v>
      </c>
      <c r="H21" s="171">
        <v>0.22203672787979964</v>
      </c>
    </row>
    <row r="22" spans="1:11" ht="16" customHeight="1" x14ac:dyDescent="0.2">
      <c r="D22" s="170">
        <f>VALUE(disc7.14!E8)</f>
        <v>-1.14E-2</v>
      </c>
      <c r="E22" s="171"/>
      <c r="F22" s="143"/>
      <c r="G22" s="170">
        <f>VALUE(disc7.14!E11)</f>
        <v>-1.0399999999999999E-3</v>
      </c>
      <c r="H22" s="171"/>
    </row>
    <row r="23" spans="1:11" ht="16" customHeight="1" x14ac:dyDescent="0.2">
      <c r="C23" s="29" t="s">
        <v>65</v>
      </c>
      <c r="D23" s="168">
        <f>VALUE(disc7.14!F7)</f>
        <v>-6.3699999999999998E-3</v>
      </c>
      <c r="E23" s="171">
        <v>-1.0143312101910827E-2</v>
      </c>
      <c r="F23" s="143"/>
      <c r="G23" s="168">
        <f>VALUE(disc7.14!F10)</f>
        <v>-2.2900000000000001E-4</v>
      </c>
      <c r="H23" s="171">
        <v>-3.8230383973288816E-3</v>
      </c>
    </row>
    <row r="24" spans="1:11" ht="16" customHeight="1" x14ac:dyDescent="0.2">
      <c r="D24" s="170">
        <f>VALUE(disc7.14!F8)</f>
        <v>-2.4199999999999998E-3</v>
      </c>
      <c r="E24" s="171"/>
      <c r="F24" s="143"/>
      <c r="G24" s="170">
        <f>VALUE(disc7.14!F11)</f>
        <v>-1.15E-4</v>
      </c>
      <c r="H24" s="171"/>
    </row>
    <row r="25" spans="1:11" ht="16" customHeight="1" x14ac:dyDescent="0.2">
      <c r="C25" s="217" t="s">
        <v>68</v>
      </c>
      <c r="D25" s="168">
        <f>VALUE(disc7.14!H7)</f>
        <v>6.7699999999999996E-2</v>
      </c>
      <c r="E25" s="171">
        <v>0.10780254777070063</v>
      </c>
      <c r="F25" s="143"/>
      <c r="G25" s="168">
        <f>VALUE(disc7.14!H10)</f>
        <v>6.4700000000000001E-3</v>
      </c>
      <c r="H25" s="171">
        <v>0.10801335559265442</v>
      </c>
    </row>
    <row r="26" spans="1:11" ht="16" customHeight="1" x14ac:dyDescent="0.2">
      <c r="A26" s="30"/>
      <c r="B26" s="30"/>
      <c r="C26" s="224"/>
      <c r="D26" s="174">
        <f>VALUE(disc7.14!H8)</f>
        <v>-7.4000000000000003E-3</v>
      </c>
      <c r="E26" s="174"/>
      <c r="F26" s="175"/>
      <c r="G26" s="174">
        <f>VALUE(disc7.14!H11)</f>
        <v>-4.2700000000000002E-4</v>
      </c>
      <c r="H26" s="175"/>
    </row>
    <row r="27" spans="1:11" ht="7.25" customHeight="1" x14ac:dyDescent="0.2"/>
    <row r="28" spans="1:11" ht="54" customHeight="1" x14ac:dyDescent="0.2">
      <c r="A28" s="202" t="s">
        <v>201</v>
      </c>
      <c r="B28" s="202"/>
      <c r="C28" s="202"/>
      <c r="D28" s="202"/>
      <c r="E28" s="202"/>
      <c r="F28" s="202"/>
      <c r="G28" s="202"/>
      <c r="H28" s="202"/>
      <c r="I28" s="43"/>
      <c r="J28" s="43"/>
      <c r="K28" s="43"/>
    </row>
  </sheetData>
  <mergeCells count="7">
    <mergeCell ref="A28:H28"/>
    <mergeCell ref="C25:C26"/>
    <mergeCell ref="B14:C14"/>
    <mergeCell ref="D5:H5"/>
    <mergeCell ref="D6:E6"/>
    <mergeCell ref="G6:H6"/>
    <mergeCell ref="A9:C10"/>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59999389629810485"/>
  </sheetPr>
  <dimension ref="A4:R47"/>
  <sheetViews>
    <sheetView workbookViewId="0">
      <selection activeCell="E15" sqref="E15"/>
    </sheetView>
  </sheetViews>
  <sheetFormatPr baseColWidth="10" defaultColWidth="8.83203125" defaultRowHeight="15" x14ac:dyDescent="0.2"/>
  <cols>
    <col min="1" max="1" width="3.6640625" customWidth="1"/>
    <col min="2" max="2" width="19" customWidth="1"/>
    <col min="3" max="3" width="13.33203125" style="1" customWidth="1"/>
    <col min="4" max="4" width="3.6640625" style="1" customWidth="1"/>
    <col min="5" max="5" width="13.33203125" style="1" bestFit="1" customWidth="1"/>
    <col min="6" max="6" width="3.6640625" style="1" customWidth="1"/>
    <col min="7" max="7" width="13.33203125" style="1" bestFit="1" customWidth="1"/>
    <col min="8" max="8" width="17" customWidth="1"/>
  </cols>
  <sheetData>
    <row r="4" spans="1:10" ht="34" customHeight="1" x14ac:dyDescent="0.2">
      <c r="A4" s="228" t="s">
        <v>233</v>
      </c>
      <c r="B4" s="228"/>
      <c r="C4" s="228"/>
      <c r="D4" s="228"/>
      <c r="E4" s="228"/>
      <c r="F4" s="228"/>
      <c r="G4" s="228"/>
      <c r="H4" s="4"/>
      <c r="I4" s="4"/>
      <c r="J4" s="4"/>
    </row>
    <row r="5" spans="1:10" ht="5" customHeight="1" x14ac:dyDescent="0.2">
      <c r="A5" s="22"/>
      <c r="B5" s="22"/>
      <c r="C5" s="162"/>
      <c r="D5" s="162"/>
      <c r="E5" s="162"/>
      <c r="F5" s="162"/>
      <c r="G5" s="162"/>
      <c r="H5" s="4"/>
      <c r="I5" s="4"/>
      <c r="J5" s="4"/>
    </row>
    <row r="6" spans="1:10" ht="17" x14ac:dyDescent="0.2">
      <c r="A6" s="4"/>
      <c r="B6" s="4"/>
      <c r="C6" s="157" t="s">
        <v>193</v>
      </c>
      <c r="D6" s="157"/>
      <c r="E6" s="157" t="s">
        <v>232</v>
      </c>
      <c r="F6" s="157"/>
      <c r="G6" s="157" t="s">
        <v>232</v>
      </c>
      <c r="H6" s="4"/>
      <c r="I6" s="4"/>
      <c r="J6" s="4"/>
    </row>
    <row r="7" spans="1:10" ht="17" x14ac:dyDescent="0.2">
      <c r="A7" s="4"/>
      <c r="B7" s="4"/>
      <c r="D7" s="157"/>
      <c r="E7" s="157" t="s">
        <v>231</v>
      </c>
      <c r="F7" s="157"/>
      <c r="G7" s="157" t="s">
        <v>230</v>
      </c>
      <c r="H7" s="4"/>
      <c r="I7" s="4"/>
      <c r="J7" s="4"/>
    </row>
    <row r="8" spans="1:10" ht="17" x14ac:dyDescent="0.2">
      <c r="A8" s="22"/>
      <c r="B8" s="22"/>
      <c r="C8" s="161" t="s">
        <v>22</v>
      </c>
      <c r="D8" s="162"/>
      <c r="E8" s="161" t="s">
        <v>23</v>
      </c>
      <c r="F8" s="162"/>
      <c r="G8" s="161" t="s">
        <v>24</v>
      </c>
      <c r="H8" s="4"/>
      <c r="I8" s="4"/>
      <c r="J8" s="4"/>
    </row>
    <row r="9" spans="1:10" ht="10.5" customHeight="1" x14ac:dyDescent="0.2">
      <c r="A9" s="4"/>
      <c r="B9" s="4"/>
      <c r="C9" s="157"/>
      <c r="D9" s="157"/>
      <c r="E9" s="157"/>
      <c r="F9" s="157"/>
      <c r="G9" s="157"/>
      <c r="H9" s="4"/>
      <c r="I9" s="4"/>
      <c r="J9" s="4"/>
    </row>
    <row r="10" spans="1:10" ht="17" x14ac:dyDescent="0.2">
      <c r="A10" s="160" t="s">
        <v>229</v>
      </c>
      <c r="B10" s="160"/>
      <c r="C10" s="157"/>
      <c r="D10" s="157"/>
      <c r="E10" s="157"/>
      <c r="F10" s="157"/>
      <c r="G10" s="157"/>
      <c r="H10" s="4"/>
      <c r="I10" s="4"/>
      <c r="J10" s="4"/>
    </row>
    <row r="11" spans="1:10" ht="17" x14ac:dyDescent="0.2">
      <c r="A11" s="4"/>
      <c r="B11" s="4" t="s">
        <v>226</v>
      </c>
      <c r="C11" s="158">
        <f>apptab1!B5</f>
        <v>6.7650000000000002E-2</v>
      </c>
      <c r="E11" s="158">
        <f>apptab1!C5</f>
        <v>5.8999999999999997E-2</v>
      </c>
      <c r="G11" s="158">
        <f>apptab1!D5</f>
        <v>5.6189999999999997E-2</v>
      </c>
    </row>
    <row r="12" spans="1:10" ht="17" x14ac:dyDescent="0.2">
      <c r="A12" s="4"/>
      <c r="B12" s="4"/>
      <c r="C12" s="246">
        <f>apptab1!B6</f>
        <v>9.9900000000000006E-3</v>
      </c>
      <c r="D12" s="246"/>
      <c r="E12" s="246">
        <f>apptab1!C6</f>
        <v>4.8399999999999997E-3</v>
      </c>
      <c r="F12" s="246"/>
      <c r="G12" s="246">
        <f>apptab1!D6</f>
        <v>4.4600000000000004E-3</v>
      </c>
    </row>
    <row r="13" spans="1:10" ht="21" customHeight="1" x14ac:dyDescent="0.2">
      <c r="A13" s="17"/>
      <c r="B13" s="17"/>
      <c r="C13" s="247">
        <f>apptab1!B11</f>
        <v>0.49731999999999998</v>
      </c>
      <c r="D13" s="248"/>
      <c r="E13" s="247">
        <f>apptab1!C11</f>
        <v>0.60724</v>
      </c>
      <c r="F13" s="248"/>
      <c r="G13" s="247">
        <f>apptab1!D11</f>
        <v>0.60480999999999996</v>
      </c>
    </row>
    <row r="14" spans="1:10" ht="17" x14ac:dyDescent="0.2">
      <c r="A14" s="4"/>
      <c r="B14" s="4"/>
      <c r="C14" s="249"/>
      <c r="D14" s="249"/>
      <c r="E14" s="249"/>
      <c r="F14" s="249"/>
      <c r="G14" s="249"/>
      <c r="H14" s="4"/>
      <c r="I14" s="4"/>
      <c r="J14" s="4"/>
    </row>
    <row r="15" spans="1:10" ht="17" x14ac:dyDescent="0.2">
      <c r="A15" s="4"/>
      <c r="B15" s="4" t="s">
        <v>225</v>
      </c>
      <c r="C15" s="250">
        <f>apptab1!E5</f>
        <v>7.8369999999999995E-2</v>
      </c>
      <c r="D15" s="251"/>
      <c r="E15" s="250">
        <f>apptab1!F5</f>
        <v>5.9360000000000003E-2</v>
      </c>
      <c r="F15" s="251"/>
      <c r="G15" s="250">
        <f>apptab1!G5</f>
        <v>6.0069999999999998E-2</v>
      </c>
    </row>
    <row r="16" spans="1:10" ht="17" x14ac:dyDescent="0.2">
      <c r="A16" s="4"/>
      <c r="B16" s="4"/>
      <c r="C16" s="246">
        <f>apptab1!E6</f>
        <v>1.2959999999999999E-2</v>
      </c>
      <c r="D16" s="251"/>
      <c r="E16" s="246">
        <f>apptab1!F6</f>
        <v>6.5500000000000003E-3</v>
      </c>
      <c r="F16" s="251"/>
      <c r="G16" s="246">
        <f>apptab1!G6</f>
        <v>6.1399999999999996E-3</v>
      </c>
    </row>
    <row r="17" spans="1:18" ht="17" x14ac:dyDescent="0.2">
      <c r="A17" s="17"/>
      <c r="B17" s="17"/>
      <c r="C17" s="247">
        <f>apptab1!E11</f>
        <v>0.48929</v>
      </c>
      <c r="D17" s="251"/>
      <c r="E17" s="247">
        <f>apptab1!F11</f>
        <v>0.54144000000000003</v>
      </c>
      <c r="F17" s="251"/>
      <c r="G17" s="247">
        <f>apptab1!G11</f>
        <v>0.59033000000000002</v>
      </c>
    </row>
    <row r="18" spans="1:18" ht="17" x14ac:dyDescent="0.2">
      <c r="A18" s="4"/>
      <c r="B18" s="4"/>
      <c r="C18" s="249"/>
      <c r="D18" s="249"/>
      <c r="E18" s="249"/>
      <c r="F18" s="249"/>
      <c r="G18" s="249"/>
      <c r="H18" s="4"/>
      <c r="I18" s="4"/>
      <c r="J18" s="4"/>
    </row>
    <row r="19" spans="1:18" ht="17" x14ac:dyDescent="0.2">
      <c r="A19" s="160" t="s">
        <v>228</v>
      </c>
      <c r="B19" s="160"/>
      <c r="C19" s="249"/>
      <c r="D19" s="249"/>
      <c r="E19" s="249"/>
      <c r="F19" s="249"/>
      <c r="G19" s="249"/>
      <c r="H19" s="4"/>
      <c r="I19" s="4"/>
      <c r="J19" s="4"/>
    </row>
    <row r="20" spans="1:18" ht="17" x14ac:dyDescent="0.2">
      <c r="A20" s="4"/>
      <c r="B20" s="4" t="s">
        <v>226</v>
      </c>
      <c r="C20" s="250">
        <f>apptab1!H5</f>
        <v>3.117E-2</v>
      </c>
      <c r="D20" s="251"/>
      <c r="E20" s="250">
        <f>apptab1!I5</f>
        <v>4.9579999999999999E-2</v>
      </c>
      <c r="F20" s="251"/>
      <c r="G20" s="250">
        <f>apptab1!J5</f>
        <v>4.8719999999999999E-2</v>
      </c>
      <c r="N20" s="135"/>
      <c r="O20" s="135"/>
      <c r="P20" s="135"/>
      <c r="Q20" s="135"/>
      <c r="R20" s="135"/>
    </row>
    <row r="21" spans="1:18" ht="17" x14ac:dyDescent="0.2">
      <c r="A21" s="4"/>
      <c r="B21" s="4"/>
      <c r="C21" s="246">
        <f>apptab1!H6</f>
        <v>4.47E-3</v>
      </c>
      <c r="D21" s="251"/>
      <c r="E21" s="246">
        <f>apptab1!I6</f>
        <v>3.7299999999999998E-3</v>
      </c>
      <c r="F21" s="251"/>
      <c r="G21" s="246">
        <f>apptab1!J6</f>
        <v>3.9199999999999999E-3</v>
      </c>
      <c r="N21" s="135"/>
      <c r="O21" s="135"/>
      <c r="P21" s="135"/>
      <c r="Q21" s="135"/>
      <c r="R21" s="135"/>
    </row>
    <row r="22" spans="1:18" ht="17" x14ac:dyDescent="0.2">
      <c r="A22" s="17"/>
      <c r="B22" s="17"/>
      <c r="C22" s="247">
        <f>apptab1!H11</f>
        <v>0.30757000000000001</v>
      </c>
      <c r="D22" s="251"/>
      <c r="E22" s="247">
        <f>apptab1!I11</f>
        <v>0.54774</v>
      </c>
      <c r="F22" s="251"/>
      <c r="G22" s="247">
        <f>apptab1!J11</f>
        <v>0.54706999999999995</v>
      </c>
      <c r="N22" s="135"/>
      <c r="O22" s="135"/>
      <c r="P22" s="135"/>
      <c r="Q22" s="135"/>
      <c r="R22" s="135"/>
    </row>
    <row r="23" spans="1:18" ht="17" x14ac:dyDescent="0.2">
      <c r="A23" s="4"/>
      <c r="B23" s="4"/>
      <c r="C23" s="252"/>
      <c r="D23" s="251"/>
      <c r="E23" s="252"/>
      <c r="F23" s="251"/>
      <c r="G23" s="252"/>
      <c r="N23" s="135"/>
      <c r="O23" s="135"/>
      <c r="P23" s="135"/>
      <c r="Q23" s="135"/>
      <c r="R23" s="135"/>
    </row>
    <row r="24" spans="1:18" ht="17" x14ac:dyDescent="0.2">
      <c r="A24" s="4"/>
      <c r="B24" s="4" t="s">
        <v>225</v>
      </c>
      <c r="C24" s="250">
        <f>apptab1!K5</f>
        <v>2.7820000000000001E-2</v>
      </c>
      <c r="D24" s="251"/>
      <c r="E24" s="250">
        <f>apptab1!L5</f>
        <v>4.5620000000000001E-2</v>
      </c>
      <c r="F24" s="251"/>
      <c r="G24" s="250">
        <f>apptab1!M5</f>
        <v>5.0040000000000001E-2</v>
      </c>
      <c r="N24" s="135"/>
      <c r="O24" s="135"/>
      <c r="P24" s="135"/>
      <c r="Q24" s="135"/>
      <c r="R24" s="135"/>
    </row>
    <row r="25" spans="1:18" ht="17" x14ac:dyDescent="0.2">
      <c r="A25" s="4"/>
      <c r="B25" s="4"/>
      <c r="C25" s="246">
        <f>apptab1!K6</f>
        <v>5.4599999999999996E-3</v>
      </c>
      <c r="D25" s="251"/>
      <c r="E25" s="246">
        <f>apptab1!L6</f>
        <v>4.8799999999999998E-3</v>
      </c>
      <c r="F25" s="251"/>
      <c r="G25" s="246">
        <f>apptab1!M6</f>
        <v>5.4099999999999999E-3</v>
      </c>
      <c r="N25" s="135"/>
      <c r="O25" s="135"/>
      <c r="P25" s="135"/>
      <c r="Q25" s="135"/>
      <c r="R25" s="135"/>
    </row>
    <row r="26" spans="1:18" ht="17" x14ac:dyDescent="0.2">
      <c r="A26" s="17"/>
      <c r="B26" s="17"/>
      <c r="C26" s="247">
        <f>apptab1!K11</f>
        <v>0.21368999999999999</v>
      </c>
      <c r="D26" s="251"/>
      <c r="E26" s="247">
        <f>apptab1!L11</f>
        <v>0.42638999999999999</v>
      </c>
      <c r="F26" s="251"/>
      <c r="G26" s="247">
        <f>apptab1!M11</f>
        <v>0.51114999999999999</v>
      </c>
      <c r="N26" s="135"/>
      <c r="O26" s="135"/>
      <c r="P26" s="135"/>
      <c r="Q26" s="135"/>
      <c r="R26" s="135"/>
    </row>
    <row r="27" spans="1:18" ht="17" x14ac:dyDescent="0.2">
      <c r="A27" s="4"/>
      <c r="B27" s="4"/>
      <c r="C27" s="252"/>
      <c r="D27" s="251"/>
      <c r="E27" s="252"/>
      <c r="F27" s="251"/>
      <c r="G27" s="252"/>
      <c r="N27" s="135"/>
      <c r="O27" s="135"/>
      <c r="P27" s="135"/>
      <c r="Q27" s="135"/>
      <c r="R27" s="135"/>
    </row>
    <row r="28" spans="1:18" ht="17" x14ac:dyDescent="0.2">
      <c r="A28" s="160" t="s">
        <v>227</v>
      </c>
      <c r="B28" s="160"/>
      <c r="C28" s="252"/>
      <c r="D28" s="251"/>
      <c r="E28" s="252"/>
      <c r="F28" s="251"/>
      <c r="G28" s="252"/>
      <c r="N28" s="135"/>
      <c r="O28" s="135"/>
      <c r="P28" s="135"/>
      <c r="Q28" s="135"/>
      <c r="R28" s="135"/>
    </row>
    <row r="29" spans="1:18" ht="17" x14ac:dyDescent="0.2">
      <c r="A29" s="4"/>
      <c r="B29" s="4" t="s">
        <v>226</v>
      </c>
      <c r="C29" s="250">
        <f>apptab1!N5</f>
        <v>8.158E-2</v>
      </c>
      <c r="D29" s="251"/>
      <c r="E29" s="250">
        <f>apptab1!O5</f>
        <v>6.973E-2</v>
      </c>
      <c r="F29" s="251"/>
      <c r="G29" s="250">
        <f>apptab1!P5</f>
        <v>6.479E-2</v>
      </c>
      <c r="N29" s="135"/>
      <c r="O29" s="135"/>
      <c r="P29" s="135"/>
      <c r="Q29" s="135"/>
      <c r="R29" s="135"/>
    </row>
    <row r="30" spans="1:18" ht="17" x14ac:dyDescent="0.2">
      <c r="A30" s="4"/>
      <c r="B30" s="4"/>
      <c r="C30" s="246">
        <f>apptab1!N6</f>
        <v>9.3500000000000007E-3</v>
      </c>
      <c r="D30" s="251"/>
      <c r="E30" s="246">
        <f>apptab1!O6</f>
        <v>5.4099999999999999E-3</v>
      </c>
      <c r="F30" s="251"/>
      <c r="G30" s="246">
        <f>apptab1!P6</f>
        <v>4.6499999999999996E-3</v>
      </c>
      <c r="N30" s="135"/>
      <c r="O30" s="135"/>
      <c r="P30" s="135"/>
      <c r="Q30" s="135"/>
      <c r="R30" s="135"/>
    </row>
    <row r="31" spans="1:18" ht="17" x14ac:dyDescent="0.2">
      <c r="A31" s="17"/>
      <c r="B31" s="17"/>
      <c r="C31" s="247">
        <f>apptab1!N11</f>
        <v>0.59079999999999999</v>
      </c>
      <c r="D31" s="251"/>
      <c r="E31" s="247">
        <f>apptab1!O11</f>
        <v>0.65808</v>
      </c>
      <c r="F31" s="251"/>
      <c r="G31" s="247">
        <f>apptab1!P11</f>
        <v>0.65464</v>
      </c>
      <c r="N31" s="135"/>
      <c r="O31" s="135"/>
      <c r="P31" s="135"/>
      <c r="Q31" s="135"/>
      <c r="R31" s="135"/>
    </row>
    <row r="32" spans="1:18" ht="17" x14ac:dyDescent="0.2">
      <c r="A32" s="4"/>
      <c r="B32" s="4"/>
      <c r="C32" s="252"/>
      <c r="D32" s="251"/>
      <c r="E32" s="252"/>
      <c r="F32" s="251"/>
      <c r="G32" s="252"/>
      <c r="N32" s="135"/>
      <c r="O32" s="135"/>
      <c r="P32" s="135"/>
      <c r="Q32" s="135"/>
      <c r="R32" s="135"/>
    </row>
    <row r="33" spans="1:18" ht="17" x14ac:dyDescent="0.2">
      <c r="A33" s="4"/>
      <c r="B33" s="4" t="s">
        <v>225</v>
      </c>
      <c r="C33" s="250">
        <f>apptab1!Q5</f>
        <v>9.1889999999999999E-2</v>
      </c>
      <c r="D33" s="251"/>
      <c r="E33" s="250">
        <f>apptab1!R5</f>
        <v>7.2440000000000004E-2</v>
      </c>
      <c r="F33" s="251"/>
      <c r="G33" s="250">
        <f>apptab1!S5</f>
        <v>6.8839999999999998E-2</v>
      </c>
      <c r="N33" s="135"/>
      <c r="O33" s="135"/>
      <c r="P33" s="135"/>
      <c r="Q33" s="135"/>
      <c r="R33" s="135"/>
    </row>
    <row r="34" spans="1:18" ht="17" x14ac:dyDescent="0.2">
      <c r="A34" s="4"/>
      <c r="B34" s="4"/>
      <c r="C34" s="246">
        <f>apptab1!Q6</f>
        <v>1.304E-2</v>
      </c>
      <c r="D34" s="251"/>
      <c r="E34" s="246">
        <f>apptab1!R6</f>
        <v>7.3099999999999997E-3</v>
      </c>
      <c r="F34" s="251"/>
      <c r="G34" s="246">
        <f>apptab1!S6</f>
        <v>6.0699999999999999E-3</v>
      </c>
      <c r="N34" s="135"/>
      <c r="O34" s="135"/>
      <c r="P34" s="135"/>
      <c r="Q34" s="135"/>
      <c r="R34" s="135"/>
    </row>
    <row r="35" spans="1:18" ht="17" x14ac:dyDescent="0.2">
      <c r="A35" s="159"/>
      <c r="B35" s="159"/>
      <c r="C35" s="253">
        <f>apptab1!Q11</f>
        <v>0.55069999999999997</v>
      </c>
      <c r="D35" s="254"/>
      <c r="E35" s="253">
        <f>apptab1!R11</f>
        <v>0.60650999999999999</v>
      </c>
      <c r="F35" s="254"/>
      <c r="G35" s="253">
        <f>apptab1!S11</f>
        <v>0.63822999999999996</v>
      </c>
      <c r="N35" s="135"/>
      <c r="O35" s="135"/>
      <c r="P35" s="135"/>
      <c r="Q35" s="135"/>
      <c r="R35" s="135"/>
    </row>
    <row r="36" spans="1:18" ht="17" x14ac:dyDescent="0.2">
      <c r="A36" s="17"/>
      <c r="B36" s="17"/>
      <c r="C36" s="158"/>
      <c r="D36" s="157"/>
      <c r="E36" s="158"/>
      <c r="F36" s="157"/>
      <c r="G36" s="158"/>
      <c r="H36" s="4"/>
      <c r="I36" s="4"/>
      <c r="J36" s="4"/>
    </row>
    <row r="37" spans="1:18" ht="17" x14ac:dyDescent="0.2">
      <c r="A37" s="226" t="s">
        <v>224</v>
      </c>
      <c r="B37" s="226"/>
      <c r="C37" s="227"/>
      <c r="D37" s="227"/>
      <c r="E37" s="227"/>
      <c r="F37" s="227"/>
      <c r="G37" s="227"/>
      <c r="H37" s="4"/>
      <c r="I37" s="4"/>
      <c r="J37" s="4"/>
    </row>
    <row r="38" spans="1:18" ht="17" x14ac:dyDescent="0.2">
      <c r="A38" s="227"/>
      <c r="B38" s="227"/>
      <c r="C38" s="227"/>
      <c r="D38" s="227"/>
      <c r="E38" s="227"/>
      <c r="F38" s="227"/>
      <c r="G38" s="227"/>
      <c r="H38" s="4"/>
      <c r="I38" s="4"/>
      <c r="J38" s="4"/>
    </row>
    <row r="39" spans="1:18" ht="17" x14ac:dyDescent="0.2">
      <c r="A39" s="227"/>
      <c r="B39" s="227"/>
      <c r="C39" s="227"/>
      <c r="D39" s="227"/>
      <c r="E39" s="227"/>
      <c r="F39" s="227"/>
      <c r="G39" s="227"/>
      <c r="H39" s="4"/>
      <c r="I39" s="4"/>
      <c r="J39" s="4"/>
    </row>
    <row r="40" spans="1:18" ht="17" x14ac:dyDescent="0.2">
      <c r="A40" s="227"/>
      <c r="B40" s="227"/>
      <c r="C40" s="227"/>
      <c r="D40" s="227"/>
      <c r="E40" s="227"/>
      <c r="F40" s="227"/>
      <c r="G40" s="227"/>
      <c r="H40" s="4"/>
      <c r="I40" s="4"/>
      <c r="J40" s="4"/>
    </row>
    <row r="41" spans="1:18" ht="78" customHeight="1" x14ac:dyDescent="0.2">
      <c r="A41" s="227"/>
      <c r="B41" s="227"/>
      <c r="C41" s="227"/>
      <c r="D41" s="227"/>
      <c r="E41" s="227"/>
      <c r="F41" s="227"/>
      <c r="G41" s="227"/>
      <c r="H41" s="4"/>
      <c r="I41" s="4"/>
      <c r="J41" s="4"/>
    </row>
    <row r="42" spans="1:18" ht="17" x14ac:dyDescent="0.2">
      <c r="A42" s="4"/>
      <c r="B42" s="4"/>
      <c r="C42" s="157"/>
      <c r="D42" s="157"/>
      <c r="E42" s="157"/>
      <c r="F42" s="157"/>
      <c r="G42" s="157"/>
      <c r="H42" s="4"/>
      <c r="I42" s="4"/>
      <c r="J42" s="4"/>
    </row>
    <row r="43" spans="1:18" ht="17" x14ac:dyDescent="0.2">
      <c r="A43" s="4"/>
      <c r="B43" s="4"/>
      <c r="C43" s="157"/>
      <c r="D43" s="157"/>
      <c r="E43" s="157"/>
      <c r="F43" s="157"/>
      <c r="G43" s="157"/>
      <c r="H43" s="4"/>
      <c r="I43" s="4"/>
      <c r="J43" s="4"/>
    </row>
    <row r="44" spans="1:18" ht="17" x14ac:dyDescent="0.2">
      <c r="A44" s="4"/>
      <c r="B44" s="4"/>
      <c r="C44" s="157"/>
      <c r="D44" s="157"/>
      <c r="E44" s="157"/>
      <c r="F44" s="157"/>
      <c r="G44" s="157"/>
      <c r="H44" s="4"/>
      <c r="I44" s="4"/>
      <c r="J44" s="4"/>
    </row>
    <row r="45" spans="1:18" ht="17" x14ac:dyDescent="0.2">
      <c r="A45" s="4"/>
      <c r="B45" s="4"/>
      <c r="C45" s="157"/>
      <c r="D45" s="157"/>
      <c r="E45" s="157"/>
      <c r="F45" s="157"/>
      <c r="G45" s="157"/>
      <c r="H45" s="4"/>
      <c r="I45" s="4"/>
      <c r="J45" s="4"/>
    </row>
    <row r="46" spans="1:18" ht="17" x14ac:dyDescent="0.2">
      <c r="A46" s="4"/>
      <c r="B46" s="4"/>
      <c r="C46" s="157"/>
      <c r="D46" s="157"/>
      <c r="E46" s="157"/>
      <c r="F46" s="157"/>
      <c r="G46" s="157"/>
      <c r="H46" s="4"/>
      <c r="I46" s="4"/>
      <c r="J46" s="4"/>
    </row>
    <row r="47" spans="1:18" ht="17" x14ac:dyDescent="0.2">
      <c r="A47" s="4"/>
      <c r="B47" s="4"/>
      <c r="C47" s="157"/>
      <c r="D47" s="157"/>
      <c r="E47" s="157"/>
      <c r="F47" s="157"/>
      <c r="G47" s="157"/>
      <c r="H47" s="4"/>
      <c r="I47" s="4"/>
      <c r="J47" s="4"/>
    </row>
  </sheetData>
  <mergeCells count="2">
    <mergeCell ref="A37:G41"/>
    <mergeCell ref="A4:G4"/>
  </mergeCells>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tint="0.59999389629810485"/>
  </sheetPr>
  <dimension ref="A1:S92"/>
  <sheetViews>
    <sheetView workbookViewId="0">
      <selection activeCell="C44" sqref="C44"/>
    </sheetView>
  </sheetViews>
  <sheetFormatPr baseColWidth="10" defaultColWidth="8.83203125" defaultRowHeight="15" x14ac:dyDescent="0.2"/>
  <cols>
    <col min="1" max="1" width="20.1640625" customWidth="1"/>
    <col min="2" max="2" width="11.1640625" customWidth="1"/>
    <col min="3" max="3" width="11" bestFit="1" customWidth="1"/>
    <col min="4" max="4" width="8.33203125" bestFit="1" customWidth="1"/>
    <col min="5" max="5" width="1.33203125" customWidth="1"/>
    <col min="6" max="7" width="11.1640625" customWidth="1"/>
    <col min="8" max="8" width="8.33203125" bestFit="1" customWidth="1"/>
    <col min="9" max="9" width="1.1640625" customWidth="1"/>
    <col min="10" max="11" width="11.1640625" customWidth="1"/>
    <col min="12" max="12" width="8.33203125" bestFit="1" customWidth="1"/>
  </cols>
  <sheetData>
    <row r="1" spans="1:19" ht="16" x14ac:dyDescent="0.2">
      <c r="A1" s="156" t="s">
        <v>246</v>
      </c>
      <c r="B1" s="156"/>
      <c r="C1" s="156"/>
      <c r="D1" s="156"/>
      <c r="E1" s="156"/>
      <c r="F1" s="156"/>
      <c r="G1" s="156"/>
      <c r="H1" s="156"/>
      <c r="I1" s="156"/>
      <c r="J1" s="156"/>
      <c r="K1" s="156"/>
      <c r="L1" s="156"/>
      <c r="M1" s="156"/>
      <c r="N1" s="156"/>
      <c r="O1" s="156"/>
      <c r="P1" s="156"/>
      <c r="Q1" s="156"/>
      <c r="R1" s="156"/>
      <c r="S1" s="156"/>
    </row>
    <row r="2" spans="1:19" ht="16" x14ac:dyDescent="0.2">
      <c r="A2" s="156"/>
      <c r="B2" s="156"/>
      <c r="C2" s="156"/>
      <c r="D2" s="156"/>
      <c r="E2" s="156"/>
      <c r="F2" s="156"/>
      <c r="G2" s="156"/>
      <c r="H2" s="156"/>
      <c r="I2" s="156"/>
      <c r="J2" s="156"/>
      <c r="K2" s="156"/>
      <c r="L2" s="156"/>
      <c r="M2" s="156"/>
      <c r="N2" s="156"/>
      <c r="O2" s="156"/>
      <c r="P2" s="156"/>
      <c r="Q2" s="156"/>
      <c r="R2" s="156"/>
      <c r="S2" s="156"/>
    </row>
    <row r="3" spans="1:19" ht="20" customHeight="1" x14ac:dyDescent="0.2">
      <c r="A3" s="167"/>
      <c r="B3" s="230" t="s">
        <v>245</v>
      </c>
      <c r="C3" s="231"/>
      <c r="D3" s="231"/>
      <c r="E3" s="167"/>
      <c r="F3" s="230" t="s">
        <v>244</v>
      </c>
      <c r="G3" s="231"/>
      <c r="H3" s="231"/>
      <c r="I3" s="167"/>
      <c r="J3" s="230" t="s">
        <v>243</v>
      </c>
      <c r="K3" s="231"/>
      <c r="L3" s="231"/>
      <c r="M3" s="156"/>
      <c r="N3" s="156"/>
      <c r="O3" s="156"/>
      <c r="P3" s="156"/>
      <c r="Q3" s="156"/>
      <c r="R3" s="156"/>
      <c r="S3" s="156"/>
    </row>
    <row r="4" spans="1:19" ht="36" customHeight="1" x14ac:dyDescent="0.2">
      <c r="A4" s="156"/>
      <c r="B4" s="232" t="s">
        <v>242</v>
      </c>
      <c r="C4" s="234" t="s">
        <v>241</v>
      </c>
      <c r="D4" s="235"/>
      <c r="E4" s="156"/>
      <c r="F4" s="232" t="s">
        <v>242</v>
      </c>
      <c r="G4" s="234" t="s">
        <v>241</v>
      </c>
      <c r="H4" s="235"/>
      <c r="I4" s="156"/>
      <c r="J4" s="232" t="s">
        <v>242</v>
      </c>
      <c r="K4" s="234" t="s">
        <v>241</v>
      </c>
      <c r="L4" s="235"/>
      <c r="M4" s="156"/>
      <c r="N4" s="156"/>
      <c r="O4" s="156"/>
      <c r="P4" s="156"/>
      <c r="Q4" s="156"/>
      <c r="R4" s="156"/>
      <c r="S4" s="156"/>
    </row>
    <row r="5" spans="1:19" ht="22.25" customHeight="1" x14ac:dyDescent="0.2">
      <c r="A5" s="156"/>
      <c r="B5" s="233"/>
      <c r="C5" s="163" t="s">
        <v>240</v>
      </c>
      <c r="D5" s="163" t="s">
        <v>239</v>
      </c>
      <c r="E5" s="156"/>
      <c r="F5" s="233"/>
      <c r="G5" s="163" t="s">
        <v>240</v>
      </c>
      <c r="H5" s="163" t="s">
        <v>239</v>
      </c>
      <c r="I5" s="156"/>
      <c r="J5" s="233"/>
      <c r="K5" s="163" t="s">
        <v>240</v>
      </c>
      <c r="L5" s="163" t="s">
        <v>239</v>
      </c>
      <c r="M5" s="156"/>
      <c r="N5" s="156"/>
      <c r="O5" s="156"/>
      <c r="P5" s="156"/>
      <c r="Q5" s="156"/>
      <c r="R5" s="156"/>
      <c r="S5" s="156"/>
    </row>
    <row r="6" spans="1:19" ht="3.75" customHeight="1" x14ac:dyDescent="0.2">
      <c r="A6" s="156"/>
      <c r="B6" s="156"/>
      <c r="C6" s="156"/>
      <c r="D6" s="156"/>
      <c r="E6" s="156"/>
      <c r="F6" s="156"/>
      <c r="G6" s="156"/>
      <c r="H6" s="156"/>
      <c r="I6" s="156"/>
      <c r="J6" s="156"/>
      <c r="K6" s="156"/>
      <c r="L6" s="156"/>
      <c r="M6" s="156"/>
      <c r="N6" s="156"/>
      <c r="O6" s="156"/>
      <c r="P6" s="156"/>
      <c r="Q6" s="156"/>
      <c r="R6" s="156"/>
      <c r="S6" s="156"/>
    </row>
    <row r="7" spans="1:19" ht="16" x14ac:dyDescent="0.2">
      <c r="A7" s="165"/>
      <c r="B7" s="166" t="s">
        <v>22</v>
      </c>
      <c r="C7" s="166" t="s">
        <v>23</v>
      </c>
      <c r="D7" s="166" t="s">
        <v>24</v>
      </c>
      <c r="E7" s="164"/>
      <c r="F7" s="166" t="s">
        <v>25</v>
      </c>
      <c r="G7" s="166" t="s">
        <v>26</v>
      </c>
      <c r="H7" s="166" t="s">
        <v>85</v>
      </c>
      <c r="I7" s="164"/>
      <c r="J7" s="166" t="s">
        <v>86</v>
      </c>
      <c r="K7" s="166" t="s">
        <v>87</v>
      </c>
      <c r="L7" s="166" t="s">
        <v>90</v>
      </c>
      <c r="M7" s="156"/>
      <c r="N7" s="156"/>
      <c r="O7" s="156"/>
      <c r="P7" s="156"/>
      <c r="Q7" s="156"/>
      <c r="R7" s="156"/>
      <c r="S7" s="156"/>
    </row>
    <row r="8" spans="1:19" ht="28.25" customHeight="1" x14ac:dyDescent="0.2">
      <c r="A8" s="129" t="s">
        <v>238</v>
      </c>
      <c r="B8" s="163"/>
      <c r="C8" s="163"/>
      <c r="D8" s="163"/>
      <c r="E8" s="163"/>
      <c r="F8" s="163"/>
      <c r="G8" s="163"/>
      <c r="H8" s="163"/>
      <c r="I8" s="163"/>
      <c r="J8" s="163"/>
      <c r="K8" s="163"/>
      <c r="L8" s="163"/>
      <c r="M8" s="156"/>
      <c r="N8" s="156"/>
      <c r="O8" s="156"/>
      <c r="P8" s="156"/>
      <c r="Q8" s="156"/>
      <c r="R8" s="156"/>
      <c r="S8" s="156"/>
    </row>
    <row r="9" spans="1:19" ht="23.25" customHeight="1" x14ac:dyDescent="0.2">
      <c r="A9" s="156" t="s">
        <v>237</v>
      </c>
      <c r="B9" s="255">
        <f>apptab2!B5</f>
        <v>5.0400000000000002E-3</v>
      </c>
      <c r="C9" s="256">
        <f>apptab2!C7</f>
        <v>0.14940999999999999</v>
      </c>
      <c r="D9" s="256">
        <f>apptab2!D9</f>
        <v>0.12023</v>
      </c>
      <c r="E9" s="251"/>
      <c r="F9" s="255">
        <f>apptab2!E5</f>
        <v>9.5300000000000003E-3</v>
      </c>
      <c r="G9" s="256">
        <f>apptab2!F7</f>
        <v>0.16536000000000001</v>
      </c>
      <c r="H9" s="256">
        <f>apptab2!G9</f>
        <v>0.16633999999999999</v>
      </c>
      <c r="I9" s="251"/>
      <c r="J9" s="255">
        <f>apptab2!H5</f>
        <v>8.9999999999999998E-4</v>
      </c>
      <c r="K9" s="256">
        <f>apptab2!I7</f>
        <v>0.13489999999999999</v>
      </c>
      <c r="L9" s="256">
        <f>apptab2!J9</f>
        <v>7.5179999999999997E-2</v>
      </c>
      <c r="M9" s="156"/>
      <c r="N9" s="156"/>
      <c r="O9" s="156"/>
      <c r="P9" s="156"/>
      <c r="Q9" s="156"/>
      <c r="R9" s="156"/>
      <c r="S9" s="156"/>
    </row>
    <row r="10" spans="1:19" ht="16" x14ac:dyDescent="0.2">
      <c r="A10" s="156"/>
      <c r="B10" s="257">
        <f>apptab2!B6</f>
        <v>2.9399999999999999E-3</v>
      </c>
      <c r="C10" s="258">
        <f>apptab2!C8</f>
        <v>2.1700000000000001E-2</v>
      </c>
      <c r="D10" s="258">
        <f>apptab2!D10</f>
        <v>3.3349999999999998E-2</v>
      </c>
      <c r="E10" s="251"/>
      <c r="F10" s="257">
        <f>apptab2!E6</f>
        <v>2.5699999999999998E-3</v>
      </c>
      <c r="G10" s="258">
        <f>apptab2!F8</f>
        <v>2.1729999999999999E-2</v>
      </c>
      <c r="H10" s="258">
        <f>apptab2!G10</f>
        <v>3.1759999999999997E-2</v>
      </c>
      <c r="I10" s="251"/>
      <c r="J10" s="257">
        <f>apptab2!H6</f>
        <v>3.5799999999999998E-3</v>
      </c>
      <c r="K10" s="258">
        <f>apptab2!I8</f>
        <v>2.3560000000000001E-2</v>
      </c>
      <c r="L10" s="258">
        <f>apptab2!J10</f>
        <v>3.8859999999999999E-2</v>
      </c>
      <c r="M10" s="156"/>
      <c r="N10" s="156"/>
      <c r="O10" s="156"/>
      <c r="P10" s="156"/>
      <c r="Q10" s="156"/>
      <c r="R10" s="156"/>
      <c r="S10" s="156"/>
    </row>
    <row r="11" spans="1:19" ht="16" x14ac:dyDescent="0.2">
      <c r="A11" s="156"/>
      <c r="B11" s="259"/>
      <c r="C11" s="251"/>
      <c r="D11" s="251"/>
      <c r="E11" s="259"/>
      <c r="F11" s="259"/>
      <c r="G11" s="259"/>
      <c r="H11" s="259"/>
      <c r="I11" s="259"/>
      <c r="J11" s="259"/>
      <c r="K11" s="259"/>
      <c r="L11" s="259"/>
      <c r="M11" s="156"/>
      <c r="N11" s="156"/>
      <c r="O11" s="156"/>
      <c r="P11" s="156"/>
      <c r="Q11" s="156"/>
      <c r="R11" s="156"/>
      <c r="S11" s="156"/>
    </row>
    <row r="12" spans="1:19" ht="16" x14ac:dyDescent="0.2">
      <c r="A12" s="156" t="s">
        <v>237</v>
      </c>
      <c r="B12" s="255">
        <f>apptab2!K5</f>
        <v>-1.7000000000000001E-4</v>
      </c>
      <c r="C12" s="256">
        <f>apptab2!L7</f>
        <v>6.7919999999999994E-2</v>
      </c>
      <c r="D12" s="256">
        <f>apptab2!M9</f>
        <v>3.7789999999999997E-2</v>
      </c>
      <c r="E12" s="251"/>
      <c r="F12" s="255">
        <f>apptab2!N5</f>
        <v>6.4000000000000005E-4</v>
      </c>
      <c r="G12" s="256">
        <f>apptab2!O7</f>
        <v>5.8209999999999998E-2</v>
      </c>
      <c r="H12" s="256">
        <f>apptab2!P9</f>
        <v>3.4689999999999999E-2</v>
      </c>
      <c r="I12" s="251"/>
      <c r="J12" s="255">
        <f>apptab2!Q5</f>
        <v>-9.7000000000000005E-4</v>
      </c>
      <c r="K12" s="256">
        <f>apptab2!R7</f>
        <v>7.7530000000000002E-2</v>
      </c>
      <c r="L12" s="256">
        <f>apptab2!S9</f>
        <v>4.1599999999999998E-2</v>
      </c>
      <c r="M12" s="156"/>
      <c r="N12" s="156"/>
      <c r="O12" s="156"/>
      <c r="P12" s="156"/>
      <c r="Q12" s="156"/>
      <c r="R12" s="156"/>
      <c r="S12" s="156"/>
    </row>
    <row r="13" spans="1:19" ht="16" x14ac:dyDescent="0.2">
      <c r="A13" s="156" t="s">
        <v>235</v>
      </c>
      <c r="B13" s="257">
        <f>apptab2!K6</f>
        <v>2.0999999999999999E-3</v>
      </c>
      <c r="C13" s="258">
        <f>apptab2!L8</f>
        <v>1.7180000000000001E-2</v>
      </c>
      <c r="D13" s="258">
        <f>apptab2!M10</f>
        <v>2.6200000000000001E-2</v>
      </c>
      <c r="E13" s="251"/>
      <c r="F13" s="257">
        <f>apptab2!N6</f>
        <v>2.2000000000000001E-3</v>
      </c>
      <c r="G13" s="258">
        <f>apptab2!O8</f>
        <v>1.9689999999999999E-2</v>
      </c>
      <c r="H13" s="258">
        <f>apptab2!P10</f>
        <v>2.853E-2</v>
      </c>
      <c r="I13" s="251"/>
      <c r="J13" s="257">
        <f>apptab2!Q6</f>
        <v>2.1299999999999999E-3</v>
      </c>
      <c r="K13" s="258">
        <f>apptab2!R8</f>
        <v>1.5879999999999998E-2</v>
      </c>
      <c r="L13" s="258">
        <f>apptab2!S10</f>
        <v>2.5760000000000002E-2</v>
      </c>
      <c r="M13" s="156"/>
      <c r="N13" s="156"/>
      <c r="O13" s="156"/>
      <c r="P13" s="156"/>
      <c r="Q13" s="156"/>
      <c r="R13" s="156"/>
      <c r="S13" s="156"/>
    </row>
    <row r="14" spans="1:19" ht="16" x14ac:dyDescent="0.2">
      <c r="A14" s="156"/>
      <c r="B14" s="259"/>
      <c r="C14" s="259"/>
      <c r="D14" s="259"/>
      <c r="E14" s="259"/>
      <c r="F14" s="259"/>
      <c r="G14" s="259"/>
      <c r="H14" s="259"/>
      <c r="I14" s="259"/>
      <c r="J14" s="259"/>
      <c r="K14" s="259"/>
      <c r="L14" s="259"/>
      <c r="M14" s="156"/>
      <c r="N14" s="156"/>
      <c r="O14" s="156"/>
      <c r="P14" s="156"/>
      <c r="Q14" s="156"/>
      <c r="R14" s="156"/>
      <c r="S14" s="156"/>
    </row>
    <row r="15" spans="1:19" ht="16" x14ac:dyDescent="0.2">
      <c r="A15" s="156" t="s">
        <v>236</v>
      </c>
      <c r="B15" s="256">
        <f>apptab2!T5</f>
        <v>11.420249999999999</v>
      </c>
      <c r="C15" s="260">
        <f>apptab2!U7</f>
        <v>336.90834000000001</v>
      </c>
      <c r="D15" s="260">
        <f>apptab2!V9</f>
        <v>283.25414000000001</v>
      </c>
      <c r="E15" s="251"/>
      <c r="F15" s="256">
        <f>apptab2!W5</f>
        <v>15.622529999999999</v>
      </c>
      <c r="G15" s="260">
        <f>apptab2!X7</f>
        <v>358.57265999999998</v>
      </c>
      <c r="H15" s="260">
        <f>apptab2!Y9</f>
        <v>345.52161999999998</v>
      </c>
      <c r="I15" s="251"/>
      <c r="J15" s="256">
        <f>apptab2!Z5</f>
        <v>9.0391399999999997</v>
      </c>
      <c r="K15" s="260">
        <f>apptab2!AA7</f>
        <v>325.49718000000001</v>
      </c>
      <c r="L15" s="260">
        <f>apptab2!AB9</f>
        <v>230.21642</v>
      </c>
      <c r="M15" s="156"/>
      <c r="N15" s="156"/>
      <c r="O15" s="156"/>
      <c r="P15" s="156"/>
      <c r="Q15" s="156"/>
      <c r="R15" s="156"/>
      <c r="S15" s="156"/>
    </row>
    <row r="16" spans="1:19" ht="16" x14ac:dyDescent="0.2">
      <c r="A16" s="156"/>
      <c r="B16" s="258">
        <f>apptab2!T6</f>
        <v>8.2738899999999997</v>
      </c>
      <c r="C16" s="261">
        <f>apptab2!U8</f>
        <v>49.125790000000002</v>
      </c>
      <c r="D16" s="261">
        <f>apptab2!V10</f>
        <v>83.078810000000004</v>
      </c>
      <c r="E16" s="251"/>
      <c r="F16" s="258">
        <f>apptab2!W6</f>
        <v>8.2069299999999998</v>
      </c>
      <c r="G16" s="261">
        <f>apptab2!X8</f>
        <v>53.203069999999997</v>
      </c>
      <c r="H16" s="261">
        <f>apptab2!Y10</f>
        <v>85.861090000000004</v>
      </c>
      <c r="I16" s="251"/>
      <c r="J16" s="258">
        <f>apptab2!Z6</f>
        <v>8.9957600000000006</v>
      </c>
      <c r="K16" s="261">
        <f>apptab2!AA8</f>
        <v>49.57694</v>
      </c>
      <c r="L16" s="261">
        <f>apptab2!AB10</f>
        <v>87.055859999999996</v>
      </c>
      <c r="M16" s="156"/>
      <c r="N16" s="156"/>
      <c r="O16" s="156"/>
      <c r="P16" s="156"/>
      <c r="Q16" s="156"/>
      <c r="R16" s="156"/>
      <c r="S16" s="156"/>
    </row>
    <row r="17" spans="1:19" ht="16" x14ac:dyDescent="0.2">
      <c r="A17" s="156"/>
      <c r="B17" s="259"/>
      <c r="C17" s="259"/>
      <c r="D17" s="259"/>
      <c r="E17" s="259"/>
      <c r="F17" s="259"/>
      <c r="G17" s="259"/>
      <c r="H17" s="259"/>
      <c r="I17" s="259"/>
      <c r="J17" s="259"/>
      <c r="K17" s="259"/>
      <c r="L17" s="259"/>
      <c r="M17" s="156"/>
      <c r="N17" s="156"/>
      <c r="O17" s="156"/>
      <c r="P17" s="156"/>
      <c r="Q17" s="156"/>
      <c r="R17" s="156"/>
      <c r="S17" s="156"/>
    </row>
    <row r="18" spans="1:19" ht="16" x14ac:dyDescent="0.2">
      <c r="A18" s="156" t="s">
        <v>236</v>
      </c>
      <c r="B18" s="256">
        <f>apptab2!AC5</f>
        <v>-3.8224</v>
      </c>
      <c r="C18" s="260">
        <f>apptab2!AD7</f>
        <v>80.262439999999998</v>
      </c>
      <c r="D18" s="260">
        <f>apptab2!AE9</f>
        <v>34.34843</v>
      </c>
      <c r="E18" s="251"/>
      <c r="F18" s="256">
        <f>apptab2!AF5</f>
        <v>-7.4218599999999997</v>
      </c>
      <c r="G18" s="260">
        <f>apptab2!AG7</f>
        <v>33.67398</v>
      </c>
      <c r="H18" s="260">
        <f>apptab2!AH9</f>
        <v>-7.6804100000000002</v>
      </c>
      <c r="I18" s="251"/>
      <c r="J18" s="256">
        <f>apptab2!AI5</f>
        <v>1.6930000000000001E-2</v>
      </c>
      <c r="K18" s="260">
        <f>apptab2!AJ7</f>
        <v>127.89002000000001</v>
      </c>
      <c r="L18" s="260">
        <f>apptab2!AK9</f>
        <v>79.462860000000006</v>
      </c>
      <c r="M18" s="156"/>
      <c r="N18" s="156"/>
      <c r="O18" s="156"/>
      <c r="P18" s="156"/>
      <c r="Q18" s="156"/>
      <c r="R18" s="156"/>
      <c r="S18" s="156"/>
    </row>
    <row r="19" spans="1:19" ht="16" x14ac:dyDescent="0.2">
      <c r="A19" s="156" t="s">
        <v>235</v>
      </c>
      <c r="B19" s="258">
        <f>apptab2!AC6</f>
        <v>5.37371</v>
      </c>
      <c r="C19" s="261">
        <f>apptab2!AD8</f>
        <v>39.682130000000001</v>
      </c>
      <c r="D19" s="261">
        <f>apptab2!AE10</f>
        <v>62.796930000000003</v>
      </c>
      <c r="E19" s="251"/>
      <c r="F19" s="258">
        <f>apptab2!AF6</f>
        <v>6.1152800000000003</v>
      </c>
      <c r="G19" s="261">
        <f>apptab2!AG8</f>
        <v>48.473509999999997</v>
      </c>
      <c r="H19" s="261">
        <f>apptab2!AH10</f>
        <v>74.738870000000006</v>
      </c>
      <c r="I19" s="251"/>
      <c r="J19" s="258">
        <f>apptab2!AI6</f>
        <v>4.8956099999999996</v>
      </c>
      <c r="K19" s="261">
        <f>apptab2!AJ8</f>
        <v>34.06794</v>
      </c>
      <c r="L19" s="261">
        <f>apptab2!AK10</f>
        <v>54.219880000000003</v>
      </c>
      <c r="M19" s="156"/>
      <c r="N19" s="156"/>
      <c r="O19" s="156"/>
      <c r="P19" s="156"/>
      <c r="Q19" s="156"/>
      <c r="R19" s="156"/>
      <c r="S19" s="156"/>
    </row>
    <row r="20" spans="1:19" ht="16" x14ac:dyDescent="0.2">
      <c r="A20" s="165"/>
      <c r="B20" s="164"/>
      <c r="C20" s="164"/>
      <c r="D20" s="164"/>
      <c r="E20" s="164"/>
      <c r="F20" s="164"/>
      <c r="G20" s="164"/>
      <c r="H20" s="164"/>
      <c r="I20" s="164"/>
      <c r="J20" s="164"/>
      <c r="K20" s="164"/>
      <c r="L20" s="164"/>
      <c r="M20" s="156"/>
      <c r="N20" s="156"/>
      <c r="O20" s="156"/>
      <c r="P20" s="156"/>
      <c r="Q20" s="156"/>
      <c r="R20" s="156"/>
      <c r="S20" s="156"/>
    </row>
    <row r="21" spans="1:19" ht="16" x14ac:dyDescent="0.2">
      <c r="A21" s="156"/>
      <c r="B21" s="163"/>
      <c r="C21" s="163"/>
      <c r="D21" s="163"/>
      <c r="E21" s="163"/>
      <c r="F21" s="163"/>
      <c r="G21" s="163"/>
      <c r="H21" s="163"/>
      <c r="I21" s="163"/>
      <c r="J21" s="163"/>
      <c r="K21" s="163"/>
      <c r="L21" s="163"/>
      <c r="M21" s="156"/>
      <c r="N21" s="156"/>
      <c r="O21" s="156"/>
      <c r="P21" s="156"/>
      <c r="Q21" s="156"/>
      <c r="R21" s="156"/>
      <c r="S21" s="156"/>
    </row>
    <row r="22" spans="1:19" ht="16" x14ac:dyDescent="0.2">
      <c r="A22" s="229" t="s">
        <v>234</v>
      </c>
      <c r="B22" s="227"/>
      <c r="C22" s="227"/>
      <c r="D22" s="227"/>
      <c r="E22" s="227"/>
      <c r="F22" s="227"/>
      <c r="G22" s="227"/>
      <c r="H22" s="227"/>
      <c r="I22" s="227"/>
      <c r="J22" s="227"/>
      <c r="K22" s="227"/>
      <c r="L22" s="227"/>
      <c r="M22" s="156"/>
      <c r="N22" s="156"/>
      <c r="O22" s="156"/>
      <c r="P22" s="156"/>
      <c r="Q22" s="156"/>
      <c r="R22" s="156"/>
      <c r="S22" s="156"/>
    </row>
    <row r="23" spans="1:19" ht="16" x14ac:dyDescent="0.2">
      <c r="A23" s="227"/>
      <c r="B23" s="227"/>
      <c r="C23" s="227"/>
      <c r="D23" s="227"/>
      <c r="E23" s="227"/>
      <c r="F23" s="227"/>
      <c r="G23" s="227"/>
      <c r="H23" s="227"/>
      <c r="I23" s="227"/>
      <c r="J23" s="227"/>
      <c r="K23" s="227"/>
      <c r="L23" s="227"/>
      <c r="M23" s="156"/>
      <c r="N23" s="156"/>
      <c r="O23" s="156"/>
      <c r="P23" s="156"/>
      <c r="Q23" s="156"/>
      <c r="R23" s="156"/>
      <c r="S23" s="156"/>
    </row>
    <row r="24" spans="1:19" ht="16" x14ac:dyDescent="0.2">
      <c r="A24" s="227"/>
      <c r="B24" s="227"/>
      <c r="C24" s="227"/>
      <c r="D24" s="227"/>
      <c r="E24" s="227"/>
      <c r="F24" s="227"/>
      <c r="G24" s="227"/>
      <c r="H24" s="227"/>
      <c r="I24" s="227"/>
      <c r="J24" s="227"/>
      <c r="K24" s="227"/>
      <c r="L24" s="227"/>
      <c r="M24" s="156"/>
      <c r="N24" s="156"/>
      <c r="O24" s="156"/>
      <c r="P24" s="156"/>
      <c r="Q24" s="156"/>
      <c r="R24" s="156"/>
      <c r="S24" s="156"/>
    </row>
    <row r="25" spans="1:19" ht="16" x14ac:dyDescent="0.2">
      <c r="A25" s="227"/>
      <c r="B25" s="227"/>
      <c r="C25" s="227"/>
      <c r="D25" s="227"/>
      <c r="E25" s="227"/>
      <c r="F25" s="227"/>
      <c r="G25" s="227"/>
      <c r="H25" s="227"/>
      <c r="I25" s="227"/>
      <c r="J25" s="227"/>
      <c r="K25" s="227"/>
      <c r="L25" s="227"/>
      <c r="M25" s="156"/>
      <c r="N25" s="156"/>
      <c r="O25" s="156"/>
      <c r="P25" s="156"/>
      <c r="Q25" s="156"/>
      <c r="R25" s="156"/>
      <c r="S25" s="156"/>
    </row>
    <row r="26" spans="1:19" ht="16" x14ac:dyDescent="0.2">
      <c r="A26" s="227"/>
      <c r="B26" s="227"/>
      <c r="C26" s="227"/>
      <c r="D26" s="227"/>
      <c r="E26" s="227"/>
      <c r="F26" s="227"/>
      <c r="G26" s="227"/>
      <c r="H26" s="227"/>
      <c r="I26" s="227"/>
      <c r="J26" s="227"/>
      <c r="K26" s="227"/>
      <c r="L26" s="227"/>
      <c r="M26" s="156"/>
      <c r="N26" s="156"/>
      <c r="O26" s="156"/>
      <c r="P26" s="156"/>
      <c r="Q26" s="156"/>
      <c r="R26" s="156"/>
      <c r="S26" s="156"/>
    </row>
    <row r="27" spans="1:19" ht="16" x14ac:dyDescent="0.2">
      <c r="A27" s="156"/>
      <c r="B27" s="156"/>
      <c r="C27" s="156"/>
      <c r="D27" s="156"/>
      <c r="E27" s="156"/>
      <c r="F27" s="156"/>
      <c r="G27" s="156"/>
      <c r="H27" s="156"/>
      <c r="I27" s="156"/>
      <c r="J27" s="156"/>
      <c r="K27" s="156"/>
      <c r="L27" s="156"/>
      <c r="M27" s="156"/>
      <c r="N27" s="156"/>
      <c r="O27" s="156"/>
      <c r="P27" s="156"/>
      <c r="Q27" s="156"/>
      <c r="R27" s="156"/>
      <c r="S27" s="156"/>
    </row>
    <row r="28" spans="1:19" ht="16" x14ac:dyDescent="0.2">
      <c r="A28" s="156"/>
      <c r="B28" s="156"/>
      <c r="C28" s="156"/>
      <c r="D28" s="156"/>
      <c r="E28" s="156"/>
      <c r="F28" s="156"/>
      <c r="G28" s="156"/>
      <c r="H28" s="156"/>
      <c r="I28" s="156"/>
      <c r="J28" s="156"/>
      <c r="K28" s="156"/>
      <c r="L28" s="156"/>
      <c r="M28" s="156"/>
      <c r="N28" s="156"/>
      <c r="O28" s="156"/>
      <c r="P28" s="156"/>
      <c r="Q28" s="156"/>
      <c r="R28" s="156"/>
      <c r="S28" s="156"/>
    </row>
    <row r="29" spans="1:19" ht="16" x14ac:dyDescent="0.2">
      <c r="A29" s="156"/>
      <c r="P29" s="156"/>
      <c r="Q29" s="156"/>
      <c r="R29" s="156"/>
      <c r="S29" s="156"/>
    </row>
    <row r="30" spans="1:19" ht="16" x14ac:dyDescent="0.2">
      <c r="A30" s="156"/>
      <c r="P30" s="156"/>
      <c r="Q30" s="156"/>
      <c r="R30" s="156"/>
      <c r="S30" s="156"/>
    </row>
    <row r="31" spans="1:19" ht="16" x14ac:dyDescent="0.2">
      <c r="A31" s="156"/>
      <c r="M31" s="156"/>
      <c r="N31" s="156"/>
      <c r="O31" s="156"/>
      <c r="P31" s="156"/>
      <c r="Q31" s="156"/>
      <c r="R31" s="156"/>
      <c r="S31" s="156"/>
    </row>
    <row r="32" spans="1:19" ht="16" x14ac:dyDescent="0.2">
      <c r="A32" s="156"/>
      <c r="P32" s="156"/>
      <c r="Q32" s="156"/>
      <c r="R32" s="156"/>
      <c r="S32" s="156"/>
    </row>
    <row r="33" spans="1:19" ht="16" x14ac:dyDescent="0.2">
      <c r="A33" s="156"/>
      <c r="P33" s="156"/>
      <c r="Q33" s="156"/>
      <c r="R33" s="156"/>
      <c r="S33" s="156"/>
    </row>
    <row r="34" spans="1:19" ht="16" x14ac:dyDescent="0.2">
      <c r="A34" s="156"/>
      <c r="M34" s="156"/>
      <c r="N34" s="156"/>
      <c r="O34" s="156"/>
      <c r="P34" s="156"/>
      <c r="Q34" s="156"/>
      <c r="R34" s="156"/>
      <c r="S34" s="156"/>
    </row>
    <row r="35" spans="1:19" ht="16" x14ac:dyDescent="0.2">
      <c r="A35" s="156"/>
      <c r="P35" s="156"/>
      <c r="Q35" s="156"/>
      <c r="R35" s="156"/>
      <c r="S35" s="156"/>
    </row>
    <row r="36" spans="1:19" ht="16" x14ac:dyDescent="0.2">
      <c r="A36" s="156"/>
      <c r="P36" s="156"/>
      <c r="Q36" s="156"/>
      <c r="R36" s="156"/>
      <c r="S36" s="156"/>
    </row>
    <row r="37" spans="1:19" ht="16" x14ac:dyDescent="0.2">
      <c r="A37" s="156"/>
      <c r="M37" s="156"/>
      <c r="N37" s="156"/>
      <c r="O37" s="156"/>
      <c r="P37" s="156"/>
      <c r="Q37" s="156"/>
      <c r="R37" s="156"/>
      <c r="S37" s="156"/>
    </row>
    <row r="38" spans="1:19" ht="16" x14ac:dyDescent="0.2">
      <c r="A38" s="156"/>
      <c r="M38" s="156"/>
      <c r="N38" s="156"/>
      <c r="O38" s="156"/>
      <c r="P38" s="156"/>
      <c r="Q38" s="156"/>
      <c r="R38" s="156"/>
      <c r="S38" s="156"/>
    </row>
    <row r="39" spans="1:19" ht="16" x14ac:dyDescent="0.2">
      <c r="A39" s="156"/>
      <c r="M39" s="156"/>
      <c r="N39" s="156"/>
      <c r="O39" s="156"/>
      <c r="P39" s="156"/>
      <c r="Q39" s="156"/>
      <c r="R39" s="156"/>
      <c r="S39" s="156"/>
    </row>
    <row r="40" spans="1:19" ht="16" x14ac:dyDescent="0.2">
      <c r="A40" s="156"/>
      <c r="B40" s="156"/>
      <c r="C40" s="156"/>
      <c r="D40" s="156"/>
      <c r="E40" s="156"/>
      <c r="F40" s="156"/>
      <c r="G40" s="156"/>
      <c r="H40" s="156"/>
      <c r="I40" s="156"/>
      <c r="J40" s="156"/>
      <c r="K40" s="156"/>
      <c r="L40" s="156"/>
      <c r="M40" s="156"/>
      <c r="N40" s="156"/>
      <c r="O40" s="156"/>
      <c r="P40" s="156"/>
      <c r="Q40" s="156"/>
      <c r="R40" s="156"/>
      <c r="S40" s="156"/>
    </row>
    <row r="41" spans="1:19" ht="16" x14ac:dyDescent="0.2">
      <c r="A41" s="156"/>
      <c r="B41" s="156"/>
      <c r="C41" s="156"/>
      <c r="D41" s="156"/>
      <c r="E41" s="156"/>
      <c r="F41" s="156"/>
      <c r="G41" s="156"/>
      <c r="H41" s="156"/>
      <c r="I41" s="156"/>
      <c r="J41" s="156"/>
      <c r="K41" s="156"/>
      <c r="L41" s="156"/>
      <c r="M41" s="156"/>
      <c r="N41" s="156"/>
      <c r="O41" s="156"/>
      <c r="P41" s="156"/>
      <c r="Q41" s="156"/>
      <c r="R41" s="156"/>
      <c r="S41" s="156"/>
    </row>
    <row r="42" spans="1:19" ht="16" x14ac:dyDescent="0.2">
      <c r="A42" s="156"/>
      <c r="B42" s="179"/>
      <c r="C42" s="181"/>
      <c r="D42" s="181"/>
      <c r="E42" s="156"/>
      <c r="F42" s="179"/>
      <c r="G42" s="181"/>
      <c r="H42" s="181"/>
      <c r="I42" s="156"/>
      <c r="J42" s="179"/>
      <c r="K42" s="181"/>
      <c r="L42" s="181"/>
      <c r="M42" s="156"/>
      <c r="N42" s="156"/>
      <c r="O42" s="156"/>
      <c r="P42" s="156"/>
      <c r="Q42" s="156"/>
      <c r="R42" s="156"/>
      <c r="S42" s="156"/>
    </row>
    <row r="43" spans="1:19" ht="16" x14ac:dyDescent="0.2">
      <c r="A43" s="156"/>
      <c r="B43" s="180"/>
      <c r="C43" s="182"/>
      <c r="D43" s="182"/>
      <c r="E43" s="156"/>
      <c r="F43" s="180"/>
      <c r="G43" s="182"/>
      <c r="H43" s="182"/>
      <c r="I43" s="156"/>
      <c r="J43" s="180"/>
      <c r="K43" s="182"/>
      <c r="L43" s="182"/>
      <c r="M43" s="156"/>
      <c r="N43" s="156"/>
      <c r="O43" s="156"/>
      <c r="P43" s="156"/>
      <c r="Q43" s="156"/>
      <c r="R43" s="156"/>
      <c r="S43" s="156"/>
    </row>
    <row r="44" spans="1:19" ht="16" x14ac:dyDescent="0.2">
      <c r="A44" s="156"/>
      <c r="B44" s="156"/>
      <c r="C44" s="156"/>
      <c r="D44" s="156"/>
      <c r="E44" s="156"/>
      <c r="F44" s="156"/>
      <c r="G44" s="156"/>
      <c r="H44" s="156"/>
      <c r="I44" s="156"/>
      <c r="J44" s="156"/>
      <c r="K44" s="156"/>
      <c r="L44" s="156"/>
      <c r="M44" s="156"/>
      <c r="N44" s="156"/>
      <c r="O44" s="156"/>
      <c r="P44" s="156"/>
      <c r="Q44" s="156"/>
      <c r="R44" s="156"/>
      <c r="S44" s="156"/>
    </row>
    <row r="45" spans="1:19" ht="16" x14ac:dyDescent="0.2">
      <c r="A45" s="156"/>
      <c r="B45" s="179"/>
      <c r="C45" s="181"/>
      <c r="D45" s="181"/>
      <c r="E45" s="156"/>
      <c r="F45" s="179"/>
      <c r="G45" s="181"/>
      <c r="H45" s="181"/>
      <c r="I45" s="156"/>
      <c r="J45" s="179"/>
      <c r="K45" s="181"/>
      <c r="L45" s="181"/>
      <c r="M45" s="156"/>
      <c r="N45" s="156"/>
      <c r="O45" s="156"/>
      <c r="P45" s="156"/>
      <c r="Q45" s="156"/>
      <c r="R45" s="156"/>
      <c r="S45" s="156"/>
    </row>
    <row r="46" spans="1:19" ht="16" x14ac:dyDescent="0.2">
      <c r="A46" s="156"/>
      <c r="B46" s="180"/>
      <c r="C46" s="182"/>
      <c r="D46" s="182"/>
      <c r="E46" s="156"/>
      <c r="F46" s="180"/>
      <c r="G46" s="182"/>
      <c r="H46" s="182"/>
      <c r="I46" s="156"/>
      <c r="J46" s="180"/>
      <c r="K46" s="182"/>
      <c r="L46" s="182"/>
      <c r="M46" s="156"/>
      <c r="N46" s="156"/>
      <c r="O46" s="156"/>
      <c r="P46" s="156"/>
      <c r="Q46" s="156"/>
      <c r="R46" s="156"/>
      <c r="S46" s="156"/>
    </row>
    <row r="47" spans="1:19" ht="16" x14ac:dyDescent="0.2">
      <c r="A47" s="156"/>
      <c r="B47" s="156"/>
      <c r="C47" s="156"/>
      <c r="D47" s="156"/>
      <c r="E47" s="156"/>
      <c r="F47" s="156"/>
      <c r="G47" s="156"/>
      <c r="H47" s="156"/>
      <c r="I47" s="156"/>
      <c r="J47" s="156"/>
      <c r="K47" s="156"/>
      <c r="L47" s="156"/>
      <c r="M47" s="156"/>
      <c r="N47" s="156"/>
      <c r="O47" s="156"/>
      <c r="P47" s="156"/>
      <c r="Q47" s="156"/>
      <c r="R47" s="156"/>
      <c r="S47" s="156"/>
    </row>
    <row r="48" spans="1:19" ht="16" x14ac:dyDescent="0.2">
      <c r="A48" s="156"/>
      <c r="B48" s="181"/>
      <c r="C48" s="183"/>
      <c r="D48" s="183"/>
      <c r="E48" s="156"/>
      <c r="F48" s="181"/>
      <c r="G48" s="183"/>
      <c r="H48" s="183"/>
      <c r="I48" s="156"/>
      <c r="J48" s="181"/>
      <c r="K48" s="183"/>
      <c r="L48" s="183"/>
      <c r="M48" s="156"/>
      <c r="N48" s="156"/>
      <c r="O48" s="156"/>
      <c r="P48" s="156"/>
      <c r="Q48" s="156"/>
      <c r="R48" s="156"/>
      <c r="S48" s="156"/>
    </row>
    <row r="49" spans="1:19" ht="16" x14ac:dyDescent="0.2">
      <c r="A49" s="156"/>
      <c r="B49" s="182"/>
      <c r="C49" s="184"/>
      <c r="D49" s="184"/>
      <c r="E49" s="156"/>
      <c r="F49" s="182"/>
      <c r="G49" s="184"/>
      <c r="H49" s="184"/>
      <c r="I49" s="156"/>
      <c r="J49" s="182"/>
      <c r="K49" s="184"/>
      <c r="L49" s="184"/>
      <c r="M49" s="156"/>
      <c r="N49" s="156"/>
      <c r="O49" s="156"/>
      <c r="P49" s="156"/>
      <c r="Q49" s="156"/>
      <c r="R49" s="156"/>
      <c r="S49" s="156"/>
    </row>
    <row r="50" spans="1:19" ht="16" x14ac:dyDescent="0.2">
      <c r="A50" s="156"/>
      <c r="B50" s="156"/>
      <c r="C50" s="156"/>
      <c r="D50" s="156"/>
      <c r="E50" s="156"/>
      <c r="F50" s="156"/>
      <c r="G50" s="156"/>
      <c r="H50" s="156"/>
      <c r="I50" s="156"/>
      <c r="J50" s="156"/>
      <c r="K50" s="156"/>
      <c r="L50" s="156"/>
      <c r="M50" s="156"/>
      <c r="N50" s="156"/>
      <c r="O50" s="156"/>
      <c r="P50" s="156"/>
      <c r="Q50" s="156"/>
      <c r="R50" s="156"/>
      <c r="S50" s="156"/>
    </row>
    <row r="51" spans="1:19" ht="16" x14ac:dyDescent="0.2">
      <c r="A51" s="156"/>
      <c r="B51" s="181"/>
      <c r="C51" s="183"/>
      <c r="D51" s="183"/>
      <c r="E51" s="156"/>
      <c r="F51" s="181"/>
      <c r="G51" s="183"/>
      <c r="H51" s="183"/>
      <c r="I51" s="156"/>
      <c r="J51" s="181"/>
      <c r="K51" s="183"/>
      <c r="L51" s="183"/>
      <c r="M51" s="156"/>
      <c r="N51" s="156"/>
      <c r="O51" s="156"/>
      <c r="P51" s="156"/>
      <c r="Q51" s="156"/>
      <c r="R51" s="156"/>
      <c r="S51" s="156"/>
    </row>
    <row r="52" spans="1:19" ht="16" x14ac:dyDescent="0.2">
      <c r="A52" s="156"/>
      <c r="B52" s="182"/>
      <c r="C52" s="184"/>
      <c r="D52" s="184"/>
      <c r="E52" s="156"/>
      <c r="F52" s="182"/>
      <c r="G52" s="184"/>
      <c r="H52" s="184"/>
      <c r="I52" s="156"/>
      <c r="J52" s="182"/>
      <c r="K52" s="184"/>
      <c r="L52" s="184"/>
      <c r="M52" s="156"/>
      <c r="N52" s="156"/>
      <c r="O52" s="156"/>
      <c r="P52" s="156"/>
      <c r="Q52" s="156"/>
      <c r="R52" s="156"/>
      <c r="S52" s="156"/>
    </row>
    <row r="53" spans="1:19" ht="16" x14ac:dyDescent="0.2">
      <c r="A53" s="156"/>
      <c r="B53" s="156"/>
      <c r="C53" s="156"/>
      <c r="D53" s="156"/>
      <c r="E53" s="156"/>
      <c r="F53" s="156"/>
      <c r="G53" s="156"/>
      <c r="H53" s="156"/>
      <c r="I53" s="156"/>
      <c r="J53" s="156"/>
      <c r="K53" s="156"/>
      <c r="L53" s="156"/>
      <c r="M53" s="156"/>
      <c r="N53" s="156"/>
      <c r="O53" s="156"/>
      <c r="P53" s="156"/>
      <c r="Q53" s="156"/>
      <c r="R53" s="156"/>
      <c r="S53" s="156"/>
    </row>
    <row r="54" spans="1:19" ht="16" x14ac:dyDescent="0.2">
      <c r="A54" s="156"/>
      <c r="B54" s="156"/>
      <c r="C54" s="156"/>
      <c r="D54" s="156"/>
      <c r="E54" s="156"/>
      <c r="F54" s="156"/>
      <c r="G54" s="156"/>
      <c r="H54" s="156"/>
      <c r="I54" s="156"/>
      <c r="J54" s="156"/>
      <c r="K54" s="156"/>
      <c r="L54" s="156"/>
      <c r="M54" s="156"/>
      <c r="N54" s="156"/>
      <c r="O54" s="156"/>
      <c r="P54" s="156"/>
      <c r="Q54" s="156"/>
      <c r="R54" s="156"/>
      <c r="S54" s="156"/>
    </row>
    <row r="55" spans="1:19" ht="16" x14ac:dyDescent="0.2">
      <c r="A55" s="156"/>
      <c r="B55" s="156"/>
      <c r="C55" s="156"/>
      <c r="D55" s="156"/>
      <c r="E55" s="156"/>
      <c r="F55" s="156"/>
      <c r="G55" s="156"/>
      <c r="H55" s="156"/>
      <c r="I55" s="156"/>
      <c r="J55" s="156"/>
      <c r="K55" s="156"/>
      <c r="L55" s="156"/>
      <c r="M55" s="156"/>
      <c r="N55" s="156"/>
      <c r="O55" s="156"/>
      <c r="P55" s="156"/>
      <c r="Q55" s="156"/>
      <c r="R55" s="156"/>
      <c r="S55" s="156"/>
    </row>
    <row r="56" spans="1:19" ht="16" x14ac:dyDescent="0.2">
      <c r="A56" s="156"/>
      <c r="B56" s="156"/>
      <c r="C56" s="156"/>
      <c r="D56" s="156"/>
      <c r="E56" s="156"/>
      <c r="F56" s="156"/>
      <c r="G56" s="156"/>
      <c r="H56" s="156"/>
      <c r="I56" s="156"/>
      <c r="J56" s="156"/>
      <c r="K56" s="156"/>
      <c r="L56" s="156"/>
      <c r="M56" s="156"/>
      <c r="N56" s="156"/>
      <c r="O56" s="156"/>
      <c r="P56" s="156"/>
      <c r="Q56" s="156"/>
      <c r="R56" s="156"/>
      <c r="S56" s="156"/>
    </row>
    <row r="57" spans="1:19" ht="16" x14ac:dyDescent="0.2">
      <c r="A57" s="156"/>
      <c r="B57" s="156"/>
      <c r="C57" s="156"/>
      <c r="D57" s="156"/>
      <c r="E57" s="156"/>
      <c r="F57" s="156"/>
      <c r="G57" s="156"/>
      <c r="H57" s="156"/>
      <c r="I57" s="156"/>
      <c r="J57" s="156"/>
      <c r="K57" s="156"/>
      <c r="L57" s="156"/>
      <c r="M57" s="156"/>
      <c r="N57" s="156"/>
      <c r="O57" s="156"/>
      <c r="P57" s="156"/>
      <c r="Q57" s="156"/>
      <c r="R57" s="156"/>
      <c r="S57" s="156"/>
    </row>
    <row r="58" spans="1:19" ht="16" x14ac:dyDescent="0.2">
      <c r="A58" s="156"/>
      <c r="B58" s="156"/>
      <c r="C58" s="156"/>
      <c r="D58" s="156"/>
      <c r="E58" s="156"/>
      <c r="F58" s="156"/>
      <c r="G58" s="156"/>
      <c r="H58" s="156"/>
      <c r="I58" s="156"/>
      <c r="J58" s="156"/>
      <c r="K58" s="156"/>
      <c r="L58" s="156"/>
      <c r="M58" s="156"/>
      <c r="N58" s="156"/>
      <c r="O58" s="156"/>
      <c r="P58" s="156"/>
      <c r="Q58" s="156"/>
      <c r="R58" s="156"/>
      <c r="S58" s="156"/>
    </row>
    <row r="59" spans="1:19" ht="16" x14ac:dyDescent="0.2">
      <c r="A59" s="156"/>
      <c r="B59" s="156"/>
      <c r="C59" s="156"/>
      <c r="D59" s="156"/>
      <c r="E59" s="156"/>
      <c r="F59" s="156"/>
      <c r="G59" s="156"/>
      <c r="H59" s="156"/>
      <c r="I59" s="156"/>
      <c r="J59" s="156"/>
      <c r="K59" s="156"/>
      <c r="L59" s="156"/>
      <c r="M59" s="156"/>
      <c r="N59" s="156"/>
      <c r="O59" s="156"/>
      <c r="P59" s="156"/>
      <c r="Q59" s="156"/>
      <c r="R59" s="156"/>
      <c r="S59" s="156"/>
    </row>
    <row r="60" spans="1:19" ht="16" x14ac:dyDescent="0.2">
      <c r="A60" s="156"/>
      <c r="B60" s="156"/>
      <c r="C60" s="156"/>
      <c r="D60" s="156"/>
      <c r="E60" s="156"/>
      <c r="F60" s="156"/>
      <c r="G60" s="156"/>
      <c r="H60" s="156"/>
      <c r="I60" s="156"/>
      <c r="J60" s="156"/>
      <c r="K60" s="156"/>
      <c r="L60" s="156"/>
      <c r="M60" s="156"/>
      <c r="N60" s="156"/>
      <c r="O60" s="156"/>
      <c r="P60" s="156"/>
      <c r="Q60" s="156"/>
      <c r="R60" s="156"/>
      <c r="S60" s="156"/>
    </row>
    <row r="61" spans="1:19" ht="16" x14ac:dyDescent="0.2">
      <c r="A61" s="156"/>
      <c r="B61" s="156"/>
      <c r="C61" s="156"/>
      <c r="D61" s="156"/>
      <c r="E61" s="156"/>
      <c r="F61" s="156"/>
      <c r="G61" s="156"/>
      <c r="H61" s="156"/>
      <c r="I61" s="156"/>
      <c r="J61" s="156"/>
      <c r="K61" s="156"/>
      <c r="L61" s="156"/>
      <c r="M61" s="156"/>
      <c r="N61" s="156"/>
      <c r="O61" s="156"/>
      <c r="P61" s="156"/>
      <c r="Q61" s="156"/>
      <c r="R61" s="156"/>
      <c r="S61" s="156"/>
    </row>
    <row r="62" spans="1:19" ht="16" x14ac:dyDescent="0.2">
      <c r="A62" s="156"/>
      <c r="B62" s="156"/>
      <c r="C62" s="156"/>
      <c r="D62" s="156"/>
      <c r="E62" s="156"/>
      <c r="F62" s="156"/>
      <c r="G62" s="156"/>
      <c r="H62" s="156"/>
      <c r="I62" s="156"/>
      <c r="J62" s="156"/>
      <c r="K62" s="156"/>
      <c r="L62" s="156"/>
      <c r="M62" s="156"/>
      <c r="N62" s="156"/>
      <c r="O62" s="156"/>
      <c r="P62" s="156"/>
      <c r="Q62" s="156"/>
      <c r="R62" s="156"/>
      <c r="S62" s="156"/>
    </row>
    <row r="63" spans="1:19" ht="16" x14ac:dyDescent="0.2">
      <c r="A63" s="156"/>
      <c r="B63" s="156"/>
      <c r="C63" s="156"/>
      <c r="D63" s="156"/>
      <c r="E63" s="156"/>
      <c r="F63" s="156"/>
      <c r="G63" s="156"/>
      <c r="H63" s="156"/>
      <c r="I63" s="156"/>
      <c r="J63" s="156"/>
      <c r="K63" s="156"/>
      <c r="L63" s="156"/>
      <c r="M63" s="156"/>
      <c r="N63" s="156"/>
      <c r="O63" s="156"/>
      <c r="P63" s="156"/>
      <c r="Q63" s="156"/>
      <c r="R63" s="156"/>
      <c r="S63" s="156"/>
    </row>
    <row r="64" spans="1:19" ht="16" x14ac:dyDescent="0.2">
      <c r="A64" s="156"/>
      <c r="B64" s="156"/>
      <c r="C64" s="156"/>
      <c r="D64" s="156"/>
      <c r="E64" s="156"/>
      <c r="F64" s="156"/>
      <c r="G64" s="156"/>
      <c r="H64" s="156"/>
      <c r="I64" s="156"/>
      <c r="J64" s="156"/>
      <c r="K64" s="156"/>
      <c r="L64" s="156"/>
      <c r="M64" s="156"/>
      <c r="N64" s="156"/>
      <c r="O64" s="156"/>
      <c r="P64" s="156"/>
      <c r="Q64" s="156"/>
      <c r="R64" s="156"/>
      <c r="S64" s="156"/>
    </row>
    <row r="65" spans="1:19" ht="16" x14ac:dyDescent="0.2">
      <c r="A65" s="156"/>
      <c r="B65" s="156"/>
      <c r="C65" s="156"/>
      <c r="D65" s="156"/>
      <c r="E65" s="156"/>
      <c r="F65" s="156"/>
      <c r="G65" s="156"/>
      <c r="H65" s="156"/>
      <c r="I65" s="156"/>
      <c r="J65" s="156"/>
      <c r="K65" s="156"/>
      <c r="L65" s="156"/>
      <c r="M65" s="156"/>
      <c r="N65" s="156"/>
      <c r="O65" s="156"/>
      <c r="P65" s="156"/>
      <c r="Q65" s="156"/>
      <c r="R65" s="156"/>
      <c r="S65" s="156"/>
    </row>
    <row r="66" spans="1:19" ht="16" x14ac:dyDescent="0.2">
      <c r="A66" s="156"/>
      <c r="B66" s="156"/>
      <c r="C66" s="156"/>
      <c r="D66" s="156"/>
      <c r="E66" s="156"/>
      <c r="F66" s="156"/>
      <c r="G66" s="156"/>
      <c r="H66" s="156"/>
      <c r="I66" s="156"/>
      <c r="J66" s="156"/>
      <c r="K66" s="156"/>
      <c r="L66" s="156"/>
      <c r="M66" s="156"/>
      <c r="N66" s="156"/>
      <c r="O66" s="156"/>
      <c r="P66" s="156"/>
      <c r="Q66" s="156"/>
      <c r="R66" s="156"/>
      <c r="S66" s="156"/>
    </row>
    <row r="67" spans="1:19" ht="16" x14ac:dyDescent="0.2">
      <c r="A67" s="156"/>
      <c r="B67" s="156"/>
      <c r="C67" s="156"/>
      <c r="D67" s="156"/>
      <c r="E67" s="156"/>
      <c r="F67" s="156"/>
      <c r="G67" s="156"/>
      <c r="H67" s="156"/>
      <c r="I67" s="156"/>
      <c r="J67" s="156"/>
      <c r="K67" s="156"/>
      <c r="L67" s="156"/>
      <c r="M67" s="156"/>
      <c r="N67" s="156"/>
      <c r="O67" s="156"/>
      <c r="P67" s="156"/>
      <c r="Q67" s="156"/>
      <c r="R67" s="156"/>
      <c r="S67" s="156"/>
    </row>
    <row r="68" spans="1:19" ht="16" x14ac:dyDescent="0.2">
      <c r="A68" s="156"/>
      <c r="B68" s="156"/>
      <c r="C68" s="156"/>
      <c r="D68" s="156"/>
      <c r="E68" s="156"/>
      <c r="F68" s="156"/>
      <c r="G68" s="156"/>
      <c r="H68" s="156"/>
      <c r="I68" s="156"/>
      <c r="J68" s="156"/>
      <c r="K68" s="156"/>
      <c r="L68" s="156"/>
      <c r="M68" s="156"/>
      <c r="N68" s="156"/>
      <c r="O68" s="156"/>
      <c r="P68" s="156"/>
      <c r="Q68" s="156"/>
      <c r="R68" s="156"/>
      <c r="S68" s="156"/>
    </row>
    <row r="69" spans="1:19" ht="16" x14ac:dyDescent="0.2">
      <c r="A69" s="156"/>
      <c r="B69" s="156"/>
      <c r="C69" s="156"/>
      <c r="D69" s="156"/>
      <c r="E69" s="156"/>
      <c r="F69" s="156"/>
      <c r="G69" s="156"/>
      <c r="H69" s="156"/>
      <c r="I69" s="156"/>
      <c r="J69" s="156"/>
      <c r="K69" s="156"/>
      <c r="L69" s="156"/>
      <c r="M69" s="156"/>
      <c r="N69" s="156"/>
      <c r="O69" s="156"/>
      <c r="P69" s="156"/>
      <c r="Q69" s="156"/>
      <c r="R69" s="156"/>
      <c r="S69" s="156"/>
    </row>
    <row r="70" spans="1:19" ht="16" x14ac:dyDescent="0.2">
      <c r="A70" s="156"/>
      <c r="B70" s="156"/>
      <c r="C70" s="156"/>
      <c r="D70" s="156"/>
      <c r="E70" s="156"/>
      <c r="F70" s="156"/>
      <c r="G70" s="156"/>
      <c r="H70" s="156"/>
      <c r="I70" s="156"/>
      <c r="J70" s="156"/>
      <c r="K70" s="156"/>
      <c r="L70" s="156"/>
      <c r="M70" s="156"/>
      <c r="N70" s="156"/>
      <c r="O70" s="156"/>
      <c r="P70" s="156"/>
      <c r="Q70" s="156"/>
      <c r="R70" s="156"/>
      <c r="S70" s="156"/>
    </row>
    <row r="71" spans="1:19" ht="16" x14ac:dyDescent="0.2">
      <c r="A71" s="156"/>
      <c r="B71" s="156"/>
      <c r="C71" s="156"/>
      <c r="D71" s="156"/>
      <c r="E71" s="156"/>
      <c r="F71" s="156"/>
      <c r="G71" s="156"/>
      <c r="H71" s="156"/>
      <c r="I71" s="156"/>
      <c r="J71" s="156"/>
      <c r="K71" s="156"/>
      <c r="L71" s="156"/>
      <c r="M71" s="156"/>
      <c r="N71" s="156"/>
      <c r="O71" s="156"/>
      <c r="P71" s="156"/>
      <c r="Q71" s="156"/>
      <c r="R71" s="156"/>
      <c r="S71" s="156"/>
    </row>
    <row r="72" spans="1:19" ht="16" x14ac:dyDescent="0.2">
      <c r="A72" s="156"/>
      <c r="B72" s="156"/>
      <c r="C72" s="156"/>
      <c r="D72" s="156"/>
      <c r="E72" s="156"/>
      <c r="F72" s="156"/>
      <c r="G72" s="156"/>
      <c r="H72" s="156"/>
      <c r="I72" s="156"/>
      <c r="J72" s="156"/>
      <c r="K72" s="156"/>
      <c r="L72" s="156"/>
      <c r="M72" s="156"/>
      <c r="N72" s="156"/>
      <c r="O72" s="156"/>
      <c r="P72" s="156"/>
      <c r="Q72" s="156"/>
      <c r="R72" s="156"/>
      <c r="S72" s="156"/>
    </row>
    <row r="73" spans="1:19" ht="16" x14ac:dyDescent="0.2">
      <c r="A73" s="156"/>
      <c r="B73" s="156"/>
      <c r="C73" s="156"/>
      <c r="D73" s="156"/>
      <c r="E73" s="156"/>
      <c r="F73" s="156"/>
      <c r="G73" s="156"/>
      <c r="H73" s="156"/>
      <c r="I73" s="156"/>
      <c r="J73" s="156"/>
      <c r="K73" s="156"/>
      <c r="L73" s="156"/>
      <c r="M73" s="156"/>
      <c r="N73" s="156"/>
      <c r="O73" s="156"/>
      <c r="P73" s="156"/>
      <c r="Q73" s="156"/>
      <c r="R73" s="156"/>
      <c r="S73" s="156"/>
    </row>
    <row r="74" spans="1:19" ht="16" x14ac:dyDescent="0.2">
      <c r="A74" s="156"/>
      <c r="B74" s="156"/>
      <c r="C74" s="156"/>
      <c r="D74" s="156"/>
      <c r="E74" s="156"/>
      <c r="F74" s="156"/>
      <c r="G74" s="156"/>
      <c r="H74" s="156"/>
      <c r="I74" s="156"/>
      <c r="J74" s="156"/>
      <c r="K74" s="156"/>
      <c r="L74" s="156"/>
      <c r="M74" s="156"/>
      <c r="N74" s="156"/>
      <c r="O74" s="156"/>
      <c r="P74" s="156"/>
      <c r="Q74" s="156"/>
      <c r="R74" s="156"/>
      <c r="S74" s="156"/>
    </row>
    <row r="75" spans="1:19" ht="16" x14ac:dyDescent="0.2">
      <c r="A75" s="156"/>
      <c r="B75" s="156"/>
      <c r="C75" s="156"/>
      <c r="D75" s="156"/>
      <c r="E75" s="156"/>
      <c r="F75" s="156"/>
      <c r="G75" s="156"/>
      <c r="H75" s="156"/>
      <c r="I75" s="156"/>
      <c r="J75" s="156"/>
      <c r="K75" s="156"/>
      <c r="L75" s="156"/>
      <c r="M75" s="156"/>
      <c r="N75" s="156"/>
      <c r="O75" s="156"/>
      <c r="P75" s="156"/>
      <c r="Q75" s="156"/>
      <c r="R75" s="156"/>
      <c r="S75" s="156"/>
    </row>
    <row r="76" spans="1:19" ht="16" x14ac:dyDescent="0.2">
      <c r="A76" s="156"/>
      <c r="B76" s="156"/>
      <c r="C76" s="156"/>
      <c r="D76" s="156"/>
      <c r="E76" s="156"/>
      <c r="F76" s="156"/>
      <c r="G76" s="156"/>
      <c r="H76" s="156"/>
      <c r="I76" s="156"/>
      <c r="J76" s="156"/>
      <c r="K76" s="156"/>
      <c r="L76" s="156"/>
      <c r="M76" s="156"/>
      <c r="N76" s="156"/>
      <c r="O76" s="156"/>
      <c r="P76" s="156"/>
      <c r="Q76" s="156"/>
      <c r="R76" s="156"/>
      <c r="S76" s="156"/>
    </row>
    <row r="77" spans="1:19" ht="16" x14ac:dyDescent="0.2">
      <c r="A77" s="156"/>
      <c r="B77" s="156"/>
      <c r="C77" s="156"/>
      <c r="D77" s="156"/>
      <c r="E77" s="156"/>
      <c r="F77" s="156"/>
      <c r="G77" s="156"/>
      <c r="H77" s="156"/>
      <c r="I77" s="156"/>
      <c r="J77" s="156"/>
      <c r="K77" s="156"/>
      <c r="L77" s="156"/>
      <c r="M77" s="156"/>
      <c r="N77" s="156"/>
      <c r="O77" s="156"/>
      <c r="P77" s="156"/>
      <c r="Q77" s="156"/>
      <c r="R77" s="156"/>
      <c r="S77" s="156"/>
    </row>
    <row r="78" spans="1:19" ht="16" x14ac:dyDescent="0.2">
      <c r="A78" s="156"/>
      <c r="B78" s="156"/>
      <c r="C78" s="156"/>
      <c r="D78" s="156"/>
      <c r="E78" s="156"/>
      <c r="F78" s="156"/>
      <c r="G78" s="156"/>
      <c r="H78" s="156"/>
      <c r="I78" s="156"/>
      <c r="J78" s="156"/>
      <c r="K78" s="156"/>
      <c r="L78" s="156"/>
      <c r="M78" s="156"/>
      <c r="N78" s="156"/>
      <c r="O78" s="156"/>
      <c r="P78" s="156"/>
      <c r="Q78" s="156"/>
      <c r="R78" s="156"/>
      <c r="S78" s="156"/>
    </row>
    <row r="79" spans="1:19" ht="16" x14ac:dyDescent="0.2">
      <c r="A79" s="156"/>
      <c r="B79" s="156"/>
      <c r="C79" s="156"/>
      <c r="D79" s="156"/>
      <c r="E79" s="156"/>
      <c r="F79" s="156"/>
      <c r="G79" s="156"/>
      <c r="H79" s="156"/>
      <c r="I79" s="156"/>
      <c r="J79" s="156"/>
      <c r="K79" s="156"/>
      <c r="L79" s="156"/>
      <c r="M79" s="156"/>
      <c r="N79" s="156"/>
      <c r="O79" s="156"/>
      <c r="P79" s="156"/>
      <c r="Q79" s="156"/>
      <c r="R79" s="156"/>
      <c r="S79" s="156"/>
    </row>
    <row r="80" spans="1:19" ht="16" x14ac:dyDescent="0.2">
      <c r="A80" s="156"/>
      <c r="B80" s="156"/>
      <c r="C80" s="156"/>
      <c r="D80" s="156"/>
      <c r="E80" s="156"/>
      <c r="F80" s="156"/>
      <c r="G80" s="156"/>
      <c r="H80" s="156"/>
      <c r="I80" s="156"/>
      <c r="J80" s="156"/>
      <c r="K80" s="156"/>
      <c r="L80" s="156"/>
      <c r="M80" s="156"/>
      <c r="N80" s="156"/>
      <c r="O80" s="156"/>
      <c r="P80" s="156"/>
      <c r="Q80" s="156"/>
      <c r="R80" s="156"/>
      <c r="S80" s="156"/>
    </row>
    <row r="81" spans="1:19" ht="16" x14ac:dyDescent="0.2">
      <c r="A81" s="156"/>
      <c r="B81" s="156"/>
      <c r="C81" s="156"/>
      <c r="D81" s="156"/>
      <c r="E81" s="156"/>
      <c r="F81" s="156"/>
      <c r="G81" s="156"/>
      <c r="H81" s="156"/>
      <c r="I81" s="156"/>
      <c r="J81" s="156"/>
      <c r="K81" s="156"/>
      <c r="L81" s="156"/>
      <c r="M81" s="156"/>
      <c r="N81" s="156"/>
      <c r="O81" s="156"/>
      <c r="P81" s="156"/>
      <c r="Q81" s="156"/>
      <c r="R81" s="156"/>
      <c r="S81" s="156"/>
    </row>
    <row r="82" spans="1:19" ht="16" x14ac:dyDescent="0.2">
      <c r="A82" s="156"/>
      <c r="B82" s="156"/>
      <c r="C82" s="156"/>
      <c r="D82" s="156"/>
      <c r="E82" s="156"/>
      <c r="F82" s="156"/>
      <c r="G82" s="156"/>
      <c r="H82" s="156"/>
      <c r="I82" s="156"/>
      <c r="J82" s="156"/>
      <c r="K82" s="156"/>
      <c r="L82" s="156"/>
      <c r="M82" s="156"/>
      <c r="N82" s="156"/>
      <c r="O82" s="156"/>
      <c r="P82" s="156"/>
      <c r="Q82" s="156"/>
      <c r="R82" s="156"/>
      <c r="S82" s="156"/>
    </row>
    <row r="83" spans="1:19" ht="16" x14ac:dyDescent="0.2">
      <c r="A83" s="156"/>
      <c r="B83" s="156"/>
      <c r="C83" s="156"/>
      <c r="D83" s="156"/>
      <c r="E83" s="156"/>
      <c r="F83" s="156"/>
      <c r="G83" s="156"/>
      <c r="H83" s="156"/>
      <c r="I83" s="156"/>
      <c r="J83" s="156"/>
      <c r="K83" s="156"/>
      <c r="L83" s="156"/>
      <c r="M83" s="156"/>
      <c r="N83" s="156"/>
      <c r="O83" s="156"/>
      <c r="P83" s="156"/>
      <c r="Q83" s="156"/>
      <c r="R83" s="156"/>
      <c r="S83" s="156"/>
    </row>
    <row r="84" spans="1:19" ht="16" x14ac:dyDescent="0.2">
      <c r="A84" s="156"/>
      <c r="B84" s="156"/>
      <c r="C84" s="156"/>
      <c r="D84" s="156"/>
      <c r="E84" s="156"/>
      <c r="F84" s="156"/>
      <c r="G84" s="156"/>
      <c r="H84" s="156"/>
      <c r="I84" s="156"/>
      <c r="J84" s="156"/>
      <c r="K84" s="156"/>
      <c r="L84" s="156"/>
      <c r="M84" s="156"/>
      <c r="N84" s="156"/>
      <c r="O84" s="156"/>
      <c r="P84" s="156"/>
      <c r="Q84" s="156"/>
      <c r="R84" s="156"/>
      <c r="S84" s="156"/>
    </row>
    <row r="85" spans="1:19" ht="16" x14ac:dyDescent="0.2">
      <c r="A85" s="156"/>
      <c r="B85" s="156"/>
      <c r="C85" s="156"/>
      <c r="D85" s="156"/>
      <c r="E85" s="156"/>
      <c r="F85" s="156"/>
      <c r="G85" s="156"/>
      <c r="H85" s="156"/>
      <c r="I85" s="156"/>
      <c r="J85" s="156"/>
      <c r="K85" s="156"/>
      <c r="L85" s="156"/>
      <c r="M85" s="156"/>
      <c r="N85" s="156"/>
      <c r="O85" s="156"/>
      <c r="P85" s="156"/>
      <c r="Q85" s="156"/>
      <c r="R85" s="156"/>
      <c r="S85" s="156"/>
    </row>
    <row r="86" spans="1:19" ht="16" x14ac:dyDescent="0.2">
      <c r="A86" s="156"/>
      <c r="B86" s="156"/>
      <c r="C86" s="156"/>
      <c r="D86" s="156"/>
      <c r="E86" s="156"/>
      <c r="F86" s="156"/>
      <c r="G86" s="156"/>
      <c r="H86" s="156"/>
      <c r="I86" s="156"/>
      <c r="J86" s="156"/>
      <c r="K86" s="156"/>
      <c r="L86" s="156"/>
      <c r="M86" s="156"/>
      <c r="N86" s="156"/>
      <c r="O86" s="156"/>
      <c r="P86" s="156"/>
      <c r="Q86" s="156"/>
      <c r="R86" s="156"/>
      <c r="S86" s="156"/>
    </row>
    <row r="87" spans="1:19" ht="16" x14ac:dyDescent="0.2">
      <c r="A87" s="156"/>
      <c r="B87" s="156"/>
      <c r="C87" s="156"/>
      <c r="D87" s="156"/>
      <c r="E87" s="156"/>
      <c r="F87" s="156"/>
      <c r="G87" s="156"/>
      <c r="H87" s="156"/>
      <c r="I87" s="156"/>
      <c r="J87" s="156"/>
      <c r="K87" s="156"/>
      <c r="L87" s="156"/>
      <c r="M87" s="156"/>
      <c r="N87" s="156"/>
      <c r="O87" s="156"/>
      <c r="P87" s="156"/>
      <c r="Q87" s="156"/>
      <c r="R87" s="156"/>
      <c r="S87" s="156"/>
    </row>
    <row r="88" spans="1:19" ht="16" x14ac:dyDescent="0.2">
      <c r="A88" s="156"/>
      <c r="B88" s="156"/>
      <c r="C88" s="156"/>
      <c r="D88" s="156"/>
      <c r="E88" s="156"/>
      <c r="F88" s="156"/>
      <c r="G88" s="156"/>
      <c r="H88" s="156"/>
      <c r="I88" s="156"/>
      <c r="J88" s="156"/>
      <c r="K88" s="156"/>
      <c r="L88" s="156"/>
      <c r="M88" s="156"/>
      <c r="N88" s="156"/>
      <c r="O88" s="156"/>
      <c r="P88" s="156"/>
      <c r="Q88" s="156"/>
      <c r="R88" s="156"/>
      <c r="S88" s="156"/>
    </row>
    <row r="89" spans="1:19" ht="16" x14ac:dyDescent="0.2">
      <c r="A89" s="156"/>
      <c r="B89" s="156"/>
      <c r="C89" s="156"/>
      <c r="D89" s="156"/>
      <c r="E89" s="156"/>
      <c r="F89" s="156"/>
      <c r="G89" s="156"/>
      <c r="H89" s="156"/>
      <c r="I89" s="156"/>
      <c r="J89" s="156"/>
      <c r="K89" s="156"/>
      <c r="L89" s="156"/>
      <c r="M89" s="156"/>
      <c r="N89" s="156"/>
      <c r="O89" s="156"/>
      <c r="P89" s="156"/>
      <c r="Q89" s="156"/>
      <c r="R89" s="156"/>
      <c r="S89" s="156"/>
    </row>
    <row r="90" spans="1:19" ht="16" x14ac:dyDescent="0.2">
      <c r="A90" s="156"/>
      <c r="B90" s="156"/>
      <c r="C90" s="156"/>
      <c r="D90" s="156"/>
      <c r="E90" s="156"/>
      <c r="F90" s="156"/>
      <c r="G90" s="156"/>
      <c r="H90" s="156"/>
      <c r="I90" s="156"/>
      <c r="J90" s="156"/>
      <c r="K90" s="156"/>
      <c r="L90" s="156"/>
      <c r="M90" s="156"/>
      <c r="N90" s="156"/>
      <c r="O90" s="156"/>
      <c r="P90" s="156"/>
      <c r="Q90" s="156"/>
      <c r="R90" s="156"/>
      <c r="S90" s="156"/>
    </row>
    <row r="91" spans="1:19" ht="16" x14ac:dyDescent="0.2">
      <c r="A91" s="156"/>
      <c r="B91" s="156"/>
      <c r="C91" s="156"/>
      <c r="D91" s="156"/>
      <c r="E91" s="156"/>
      <c r="F91" s="156"/>
      <c r="G91" s="156"/>
      <c r="H91" s="156"/>
      <c r="I91" s="156"/>
      <c r="J91" s="156"/>
      <c r="K91" s="156"/>
      <c r="L91" s="156"/>
      <c r="M91" s="156"/>
      <c r="N91" s="156"/>
      <c r="O91" s="156"/>
      <c r="P91" s="156"/>
      <c r="Q91" s="156"/>
      <c r="R91" s="156"/>
      <c r="S91" s="156"/>
    </row>
    <row r="92" spans="1:19" ht="16" x14ac:dyDescent="0.2">
      <c r="A92" s="156"/>
      <c r="B92" s="156"/>
      <c r="C92" s="156"/>
      <c r="D92" s="156"/>
      <c r="E92" s="156"/>
      <c r="F92" s="156"/>
      <c r="G92" s="156"/>
      <c r="H92" s="156"/>
      <c r="I92" s="156"/>
      <c r="J92" s="156"/>
      <c r="K92" s="156"/>
      <c r="L92" s="156"/>
      <c r="M92" s="156"/>
      <c r="N92" s="156"/>
      <c r="O92" s="156"/>
      <c r="P92" s="156"/>
      <c r="Q92" s="156"/>
      <c r="R92" s="156"/>
      <c r="S92" s="156"/>
    </row>
  </sheetData>
  <mergeCells count="10">
    <mergeCell ref="A22:L26"/>
    <mergeCell ref="B3:D3"/>
    <mergeCell ref="F3:H3"/>
    <mergeCell ref="J3:L3"/>
    <mergeCell ref="B4:B5"/>
    <mergeCell ref="C4:D4"/>
    <mergeCell ref="F4:F5"/>
    <mergeCell ref="G4:H4"/>
    <mergeCell ref="J4:J5"/>
    <mergeCell ref="K4:L4"/>
  </mergeCells>
  <pageMargins left="0.7" right="0.7" top="0.75" bottom="0.75" header="0.3" footer="0.3"/>
  <pageSetup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5" tint="0.59999389629810485"/>
  </sheetPr>
  <dimension ref="B2:V67"/>
  <sheetViews>
    <sheetView workbookViewId="0">
      <selection activeCell="K34" sqref="K34"/>
    </sheetView>
  </sheetViews>
  <sheetFormatPr baseColWidth="10" defaultColWidth="10.6640625" defaultRowHeight="15" x14ac:dyDescent="0.2"/>
  <cols>
    <col min="2" max="2" width="5" customWidth="1"/>
    <col min="3" max="3" width="7.33203125" customWidth="1"/>
    <col min="4" max="4" width="16.83203125" customWidth="1"/>
    <col min="5" max="5" width="8.1640625" bestFit="1" customWidth="1"/>
    <col min="6" max="6" width="2.1640625" customWidth="1"/>
    <col min="7" max="7" width="4.83203125" bestFit="1" customWidth="1"/>
    <col min="8" max="8" width="7.5" customWidth="1"/>
    <col min="9" max="9" width="19.83203125" bestFit="1" customWidth="1"/>
    <col min="10" max="10" width="8.1640625" bestFit="1" customWidth="1"/>
  </cols>
  <sheetData>
    <row r="2" spans="2:22" ht="16" x14ac:dyDescent="0.2">
      <c r="B2" s="156" t="s">
        <v>221</v>
      </c>
    </row>
    <row r="4" spans="2:22" ht="32" customHeight="1" x14ac:dyDescent="0.2">
      <c r="B4" s="136" t="s">
        <v>204</v>
      </c>
      <c r="C4" s="136" t="s">
        <v>203</v>
      </c>
      <c r="D4" s="137" t="s">
        <v>207</v>
      </c>
      <c r="E4" s="136" t="s">
        <v>205</v>
      </c>
      <c r="F4" s="138"/>
      <c r="G4" s="136" t="s">
        <v>204</v>
      </c>
      <c r="H4" s="136" t="s">
        <v>203</v>
      </c>
      <c r="I4" s="137" t="s">
        <v>207</v>
      </c>
      <c r="J4" s="136" t="s">
        <v>205</v>
      </c>
    </row>
    <row r="5" spans="2:22" x14ac:dyDescent="0.2">
      <c r="B5">
        <v>1</v>
      </c>
      <c r="C5" s="134">
        <f>atab3_full!A2</f>
        <v>38300</v>
      </c>
      <c r="D5" s="251" t="str">
        <f>SUBSTITUTE(atab3_full!B2," city", "")</f>
        <v>Los Angeles, CA</v>
      </c>
      <c r="E5" s="262">
        <f>atab3_full!C2</f>
        <v>4.9924489110708237E-2</v>
      </c>
      <c r="F5" s="251"/>
      <c r="G5" s="251">
        <v>26</v>
      </c>
      <c r="H5" s="263">
        <f>atab3_full!A27</f>
        <v>16300</v>
      </c>
      <c r="I5" s="251" t="str">
        <f>SUBSTITUTE(atab3_full!B27," city", "")</f>
        <v>Pittsburgh, PA</v>
      </c>
      <c r="J5" s="262">
        <f>atab3_full!C27</f>
        <v>-5.2859444171190262E-2</v>
      </c>
      <c r="Q5" s="135"/>
      <c r="V5" s="135"/>
    </row>
    <row r="6" spans="2:22" x14ac:dyDescent="0.2">
      <c r="B6">
        <v>2</v>
      </c>
      <c r="C6" s="134">
        <f>atab3_full!A3</f>
        <v>19400</v>
      </c>
      <c r="D6" s="251" t="str">
        <f>SUBSTITUTE(atab3_full!B3," city", "")</f>
        <v>New York, NY</v>
      </c>
      <c r="E6" s="262">
        <f>atab3_full!C3</f>
        <v>9.7572945058345795E-2</v>
      </c>
      <c r="F6" s="251"/>
      <c r="G6" s="251">
        <v>27</v>
      </c>
      <c r="H6" s="263">
        <f>atab3_full!A28</f>
        <v>33000</v>
      </c>
      <c r="I6" s="251" t="str">
        <f>SUBSTITUTE(atab3_full!B28," city", "")</f>
        <v>Fort Worth, TX</v>
      </c>
      <c r="J6" s="262">
        <f>atab3_full!C28</f>
        <v>9.7144804894924164E-3</v>
      </c>
      <c r="Q6" s="135"/>
      <c r="V6" s="135"/>
    </row>
    <row r="7" spans="2:22" x14ac:dyDescent="0.2">
      <c r="B7">
        <v>3</v>
      </c>
      <c r="C7" s="134">
        <f>atab3_full!A4</f>
        <v>24300</v>
      </c>
      <c r="D7" s="251" t="str">
        <f>SUBSTITUTE(atab3_full!B4," city", "")</f>
        <v>Chicago, IL</v>
      </c>
      <c r="E7" s="262">
        <f>atab3_full!C4</f>
        <v>4.634302482008934E-2</v>
      </c>
      <c r="F7" s="251"/>
      <c r="G7" s="251">
        <v>28</v>
      </c>
      <c r="H7" s="263">
        <f>atab3_full!A29</f>
        <v>7400</v>
      </c>
      <c r="I7" s="251" t="str">
        <f>SUBSTITUTE(atab3_full!B29," city", "")</f>
        <v>Orlando, FL</v>
      </c>
      <c r="J7" s="262">
        <f>atab3_full!C29</f>
        <v>-6.4114183187484741E-2</v>
      </c>
      <c r="Q7" s="135"/>
      <c r="V7" s="135"/>
    </row>
    <row r="8" spans="2:22" x14ac:dyDescent="0.2">
      <c r="B8">
        <v>4</v>
      </c>
      <c r="C8" s="134">
        <f>atab3_full!A5</f>
        <v>11304</v>
      </c>
      <c r="D8" s="251" t="s">
        <v>3391</v>
      </c>
      <c r="E8" s="262">
        <f>atab3_full!C5</f>
        <v>0.15457560122013092</v>
      </c>
      <c r="F8" s="251"/>
      <c r="G8" s="251">
        <v>29</v>
      </c>
      <c r="H8" s="263">
        <f>atab3_full!A30</f>
        <v>38801</v>
      </c>
      <c r="I8" s="251" t="str">
        <f>SUBSTITUTE(atab3_full!B30," city", "")</f>
        <v>Portland, OR</v>
      </c>
      <c r="J8" s="262">
        <f>atab3_full!C30</f>
        <v>1.3963501900434494E-2</v>
      </c>
      <c r="N8" s="134"/>
      <c r="Q8" s="135"/>
      <c r="V8" s="135"/>
    </row>
    <row r="9" spans="2:22" x14ac:dyDescent="0.2">
      <c r="B9">
        <v>5</v>
      </c>
      <c r="C9" s="134">
        <f>atab3_full!A6</f>
        <v>19600</v>
      </c>
      <c r="D9" s="251" t="str">
        <f>SUBSTITUTE(atab3_full!B6," city", "")</f>
        <v>Newark, NJ</v>
      </c>
      <c r="E9" s="262">
        <f>atab3_full!C6</f>
        <v>0.11263121664524078</v>
      </c>
      <c r="F9" s="251"/>
      <c r="G9" s="251">
        <v>30</v>
      </c>
      <c r="H9" s="263">
        <f>atab3_full!A31</f>
        <v>18000</v>
      </c>
      <c r="I9" s="251" t="str">
        <f>SUBSTITUTE(atab3_full!B31," city", "")</f>
        <v>Buffalo, NY</v>
      </c>
      <c r="J9" s="262">
        <f>atab3_full!C31</f>
        <v>-3.9841253310441971E-2</v>
      </c>
      <c r="Q9" s="135"/>
      <c r="V9" s="135"/>
    </row>
    <row r="10" spans="2:22" x14ac:dyDescent="0.2">
      <c r="B10">
        <v>6</v>
      </c>
      <c r="C10" s="134">
        <f>atab3_full!A7</f>
        <v>32000</v>
      </c>
      <c r="D10" s="251" t="str">
        <f>SUBSTITUTE(atab3_full!B7," city", "")</f>
        <v>Houston, TX</v>
      </c>
      <c r="E10" s="262">
        <f>atab3_full!C7</f>
        <v>4.5581337064504623E-2</v>
      </c>
      <c r="F10" s="251"/>
      <c r="G10" s="251">
        <v>31</v>
      </c>
      <c r="H10" s="263">
        <f>atab3_full!A32</f>
        <v>31301</v>
      </c>
      <c r="I10" s="251" t="str">
        <f>SUBSTITUTE(atab3_full!B32," city", "")</f>
        <v>San Antonio, TX</v>
      </c>
      <c r="J10" s="262">
        <f>atab3_full!C32</f>
        <v>-2.5182235985994339E-2</v>
      </c>
      <c r="Q10" s="135"/>
      <c r="V10" s="135"/>
    </row>
    <row r="11" spans="2:22" x14ac:dyDescent="0.2">
      <c r="B11">
        <v>7</v>
      </c>
      <c r="C11" s="134">
        <f>atab3_full!A8</f>
        <v>19700</v>
      </c>
      <c r="D11" s="251" t="str">
        <f>SUBSTITUTE(atab3_full!B8," city", "")</f>
        <v>Philadelphia, PA</v>
      </c>
      <c r="E11" s="262">
        <f>atab3_full!C8</f>
        <v>4.6094533056020737E-2</v>
      </c>
      <c r="F11" s="251"/>
      <c r="G11" s="251">
        <v>32</v>
      </c>
      <c r="H11" s="263">
        <f>atab3_full!A33</f>
        <v>37901</v>
      </c>
      <c r="I11" s="251" t="str">
        <f>SUBSTITUTE(atab3_full!B33," city", "")</f>
        <v>Las Vegas, NV</v>
      </c>
      <c r="J11" s="262">
        <f>atab3_full!C33</f>
        <v>1.6740318387746811E-2</v>
      </c>
      <c r="Q11" s="135"/>
      <c r="V11" s="135"/>
    </row>
    <row r="12" spans="2:22" x14ac:dyDescent="0.2">
      <c r="B12">
        <v>8</v>
      </c>
      <c r="C12" s="134">
        <f>atab3_full!A9</f>
        <v>20500</v>
      </c>
      <c r="D12" s="251" t="str">
        <f>SUBSTITUTE(atab3_full!B9," city", "")</f>
        <v>Boston, MA</v>
      </c>
      <c r="E12" s="262">
        <f>atab3_full!C9</f>
        <v>9.3689873814582825E-2</v>
      </c>
      <c r="F12" s="251"/>
      <c r="G12" s="251">
        <v>33</v>
      </c>
      <c r="H12" s="263">
        <f>atab3_full!A34</f>
        <v>31201</v>
      </c>
      <c r="I12" s="251" t="str">
        <f>SUBSTITUTE(atab3_full!B34," city", "")</f>
        <v>Austin, TX</v>
      </c>
      <c r="J12" s="262">
        <f>atab3_full!C34</f>
        <v>2.1978046745061874E-2</v>
      </c>
      <c r="Q12" s="135"/>
      <c r="V12" s="135"/>
    </row>
    <row r="13" spans="2:22" x14ac:dyDescent="0.2">
      <c r="B13">
        <v>9</v>
      </c>
      <c r="C13" s="134">
        <f>atab3_full!A10</f>
        <v>37800</v>
      </c>
      <c r="D13" s="251" t="str">
        <f>SUBSTITUTE(atab3_full!B10," city", "")</f>
        <v>San Francisco, CA</v>
      </c>
      <c r="E13" s="262">
        <f>atab3_full!C10</f>
        <v>0.16907614469528198</v>
      </c>
      <c r="F13" s="251"/>
      <c r="G13" s="251">
        <v>34</v>
      </c>
      <c r="H13" s="263">
        <f>atab3_full!A35</f>
        <v>12701</v>
      </c>
      <c r="I13" s="251" t="str">
        <f>SUBSTITUTE(atab3_full!B35," city", "")</f>
        <v>Cincinnati, OH</v>
      </c>
      <c r="J13" s="262">
        <f>atab3_full!C35</f>
        <v>-1.9647348672151566E-2</v>
      </c>
      <c r="Q13" s="135"/>
      <c r="V13" s="135"/>
    </row>
    <row r="14" spans="2:22" x14ac:dyDescent="0.2">
      <c r="B14">
        <v>10</v>
      </c>
      <c r="C14" s="134">
        <f>atab3_full!A11</f>
        <v>9100</v>
      </c>
      <c r="D14" s="251" t="str">
        <f>SUBSTITUTE(atab3_full!B11," city", "")</f>
        <v>Atlanta, GA</v>
      </c>
      <c r="E14" s="262">
        <f>atab3_full!C11</f>
        <v>6.1565600335597992E-3</v>
      </c>
      <c r="F14" s="251"/>
      <c r="G14" s="251">
        <v>35</v>
      </c>
      <c r="H14" s="263">
        <f>atab3_full!A36</f>
        <v>29502</v>
      </c>
      <c r="I14" s="251" t="str">
        <f>SUBSTITUTE(atab3_full!B36," city", "")</f>
        <v>Kansas City, MO</v>
      </c>
      <c r="J14" s="262">
        <f>atab3_full!C36</f>
        <v>-2.0544160157442093E-2</v>
      </c>
      <c r="Q14" s="135"/>
      <c r="V14" s="135"/>
    </row>
    <row r="15" spans="2:22" x14ac:dyDescent="0.2">
      <c r="B15">
        <v>11</v>
      </c>
      <c r="C15" s="134">
        <f>atab3_full!A12</f>
        <v>11600</v>
      </c>
      <c r="D15" s="251" t="str">
        <f>SUBSTITUTE(atab3_full!B12," city", "")</f>
        <v>Detroit, MI</v>
      </c>
      <c r="E15" s="262">
        <f>atab3_full!C12</f>
        <v>-3.1676877290010452E-2</v>
      </c>
      <c r="F15" s="251"/>
      <c r="G15" s="251">
        <v>36</v>
      </c>
      <c r="H15" s="263">
        <f>atab3_full!A37</f>
        <v>1701</v>
      </c>
      <c r="I15" s="251" t="str">
        <f>SUBSTITUTE(atab3_full!B37," city", "")</f>
        <v>Raleigh, NC</v>
      </c>
      <c r="J15" s="262">
        <f>atab3_full!C37</f>
        <v>-1.0682139545679092E-2</v>
      </c>
      <c r="Q15" s="135"/>
      <c r="V15" s="135"/>
    </row>
    <row r="16" spans="2:22" x14ac:dyDescent="0.2">
      <c r="B16">
        <v>12</v>
      </c>
      <c r="C16" s="134">
        <f>atab3_full!A13</f>
        <v>39400</v>
      </c>
      <c r="D16" s="251" t="str">
        <f>SUBSTITUTE(atab3_full!B13," city", "")</f>
        <v>Seattle, WA</v>
      </c>
      <c r="E16" s="262">
        <f>atab3_full!C13</f>
        <v>7.3951482772827148E-2</v>
      </c>
      <c r="F16" s="251"/>
      <c r="G16" s="251">
        <v>37</v>
      </c>
      <c r="H16" s="263">
        <f>atab3_full!A38</f>
        <v>15900</v>
      </c>
      <c r="I16" s="251" t="str">
        <f>SUBSTITUTE(atab3_full!B38," city", "")</f>
        <v>Columbus, OH</v>
      </c>
      <c r="J16" s="262">
        <f>atab3_full!C38</f>
        <v>-2.3362565785646439E-2</v>
      </c>
      <c r="Q16" s="135"/>
      <c r="V16" s="135"/>
    </row>
    <row r="17" spans="2:22" x14ac:dyDescent="0.2">
      <c r="B17">
        <v>13</v>
      </c>
      <c r="C17" s="134">
        <f>atab3_full!A14</f>
        <v>33100</v>
      </c>
      <c r="D17" s="251" t="str">
        <f>SUBSTITUTE(atab3_full!B14," city", "")</f>
        <v>Dallas, TX</v>
      </c>
      <c r="E17" s="262">
        <f>atab3_full!C14</f>
        <v>3.9217542856931686E-2</v>
      </c>
      <c r="F17" s="251"/>
      <c r="G17" s="251">
        <v>38</v>
      </c>
      <c r="H17" s="263">
        <f>atab3_full!A39</f>
        <v>900</v>
      </c>
      <c r="I17" s="251" t="str">
        <f>SUBSTITUTE(atab3_full!B39," city", "")</f>
        <v>Charlotte, NC</v>
      </c>
      <c r="J17" s="262">
        <f>atab3_full!C39</f>
        <v>-1.0709110647439957E-2</v>
      </c>
      <c r="Q17" s="135"/>
      <c r="V17" s="135"/>
    </row>
    <row r="18" spans="2:22" x14ac:dyDescent="0.2">
      <c r="B18">
        <v>14</v>
      </c>
      <c r="C18" s="134">
        <f>atab3_full!A15</f>
        <v>7000</v>
      </c>
      <c r="D18" s="251" t="str">
        <f>SUBSTITUTE(atab3_full!B15," city", "")</f>
        <v>Miami, FL</v>
      </c>
      <c r="E18" s="262">
        <f>atab3_full!C15</f>
        <v>-3.543192520737648E-2</v>
      </c>
      <c r="F18" s="251"/>
      <c r="G18" s="251">
        <v>39</v>
      </c>
      <c r="H18" s="263">
        <f>atab3_full!A40</f>
        <v>14200</v>
      </c>
      <c r="I18" s="251" t="str">
        <f>SUBSTITUTE(atab3_full!B40," city", "")</f>
        <v>Indianapolis (remaind, IN</v>
      </c>
      <c r="J18" s="262">
        <f>atab3_full!C40</f>
        <v>-2.7649570256471634E-2</v>
      </c>
      <c r="Q18" s="135"/>
      <c r="V18" s="135"/>
    </row>
    <row r="19" spans="2:22" x14ac:dyDescent="0.2">
      <c r="B19">
        <v>15</v>
      </c>
      <c r="C19" s="134">
        <f>atab3_full!A16</f>
        <v>35001</v>
      </c>
      <c r="D19" s="251" t="str">
        <f>SUBSTITUTE(atab3_full!B16," city", "")</f>
        <v>Phoenix, AZ</v>
      </c>
      <c r="E19" s="262">
        <f>atab3_full!C16</f>
        <v>2.5758559349924326E-3</v>
      </c>
      <c r="F19" s="251"/>
      <c r="G19" s="251">
        <v>40</v>
      </c>
      <c r="H19" s="263">
        <f>atab3_full!A41</f>
        <v>36100</v>
      </c>
      <c r="I19" s="251" t="str">
        <f>SUBSTITUTE(atab3_full!B41," city", "")</f>
        <v>Salt Lake City, UT</v>
      </c>
      <c r="J19" s="262">
        <f>atab3_full!C41</f>
        <v>-2.3369301110506058E-2</v>
      </c>
      <c r="Q19" s="135"/>
      <c r="V19" s="135"/>
    </row>
    <row r="20" spans="2:22" x14ac:dyDescent="0.2">
      <c r="B20">
        <v>16</v>
      </c>
      <c r="C20" s="134">
        <f>atab3_full!A17</f>
        <v>21501</v>
      </c>
      <c r="D20" s="251" t="str">
        <f>SUBSTITUTE(atab3_full!B17," city", "")</f>
        <v>Minneapolis, MN</v>
      </c>
      <c r="E20" s="262">
        <f>atab3_full!C17</f>
        <v>3.6322947591543198E-2</v>
      </c>
      <c r="F20" s="251"/>
      <c r="G20" s="251">
        <v>41</v>
      </c>
      <c r="H20" s="263">
        <f>atab3_full!A42</f>
        <v>24100</v>
      </c>
      <c r="I20" s="251" t="str">
        <f>SUBSTITUTE(atab3_full!B42," city", "")</f>
        <v>Milwaukee, WI</v>
      </c>
      <c r="J20" s="262">
        <f>atab3_full!C42</f>
        <v>-1.0708112269639969E-2</v>
      </c>
      <c r="Q20" s="135"/>
      <c r="V20" s="135"/>
    </row>
    <row r="21" spans="2:22" x14ac:dyDescent="0.2">
      <c r="B21">
        <v>17</v>
      </c>
      <c r="C21" s="134">
        <f>atab3_full!A18</f>
        <v>20901</v>
      </c>
      <c r="D21" s="251" t="str">
        <f>SUBSTITUTE(atab3_full!B18," city", "")</f>
        <v>Bridgeport, CT</v>
      </c>
      <c r="E21" s="262">
        <f>atab3_full!C18</f>
        <v>8.9760228991508484E-2</v>
      </c>
      <c r="F21" s="251"/>
      <c r="G21" s="251">
        <v>42</v>
      </c>
      <c r="H21" s="263">
        <f>atab3_full!A43</f>
        <v>5600</v>
      </c>
      <c r="I21" s="251" t="str">
        <f>SUBSTITUTE(atab3_full!B43," city", "")</f>
        <v>Nashville-Davidson (remain, TN</v>
      </c>
      <c r="J21" s="262">
        <f>atab3_full!C43</f>
        <v>-3.7427488714456558E-2</v>
      </c>
      <c r="Q21" s="135"/>
      <c r="V21" s="135"/>
    </row>
    <row r="22" spans="2:22" x14ac:dyDescent="0.2">
      <c r="B22">
        <v>18</v>
      </c>
      <c r="C22" s="134">
        <f>atab3_full!A19</f>
        <v>28900</v>
      </c>
      <c r="D22" s="251" t="str">
        <f>SUBSTITUTE(atab3_full!B19," city", "")</f>
        <v>Denver, CO</v>
      </c>
      <c r="E22" s="262">
        <f>atab3_full!C19</f>
        <v>3.577766939997673E-2</v>
      </c>
      <c r="F22" s="251"/>
      <c r="G22" s="251">
        <v>43</v>
      </c>
      <c r="H22" s="263">
        <f>atab3_full!A44</f>
        <v>7100</v>
      </c>
      <c r="I22" s="251" t="str">
        <f>SUBSTITUTE(atab3_full!B44," city", "")</f>
        <v>West Palm Beach, FL</v>
      </c>
      <c r="J22" s="262">
        <f>atab3_full!C44</f>
        <v>-2.0522523671388626E-2</v>
      </c>
      <c r="Q22" s="135"/>
      <c r="V22" s="135"/>
    </row>
    <row r="23" spans="2:22" x14ac:dyDescent="0.2">
      <c r="B23">
        <v>19</v>
      </c>
      <c r="C23" s="134">
        <f>atab3_full!A20</f>
        <v>38000</v>
      </c>
      <c r="D23" s="251" t="str">
        <f>SUBSTITUTE(atab3_full!B20," city", "")</f>
        <v>San Diego, CA</v>
      </c>
      <c r="E23" s="262">
        <f>atab3_full!C20</f>
        <v>5.4851990193128586E-2</v>
      </c>
      <c r="F23" s="251"/>
      <c r="G23" s="251">
        <v>44</v>
      </c>
      <c r="H23" s="263">
        <f>atab3_full!A45</f>
        <v>20401</v>
      </c>
      <c r="I23" s="251" t="str">
        <f>SUBSTITUTE(atab3_full!B45," city", "")</f>
        <v>Providence, RI</v>
      </c>
      <c r="J23" s="262">
        <f>atab3_full!C45</f>
        <v>3.7525292485952377E-2</v>
      </c>
      <c r="Q23" s="135"/>
      <c r="V23" s="135"/>
    </row>
    <row r="24" spans="2:22" x14ac:dyDescent="0.2">
      <c r="B24">
        <v>20</v>
      </c>
      <c r="C24" s="134">
        <f>atab3_full!A21</f>
        <v>37400</v>
      </c>
      <c r="D24" s="251" t="str">
        <f>SUBSTITUTE(atab3_full!B21," city", "")</f>
        <v>Sacramento, CA</v>
      </c>
      <c r="E24" s="262">
        <f>atab3_full!C21</f>
        <v>5.1344659179449081E-2</v>
      </c>
      <c r="F24" s="251"/>
      <c r="G24" s="251">
        <v>45</v>
      </c>
      <c r="H24" s="263">
        <f>atab3_full!A46</f>
        <v>7600</v>
      </c>
      <c r="I24" s="251" t="str">
        <f>SUBSTITUTE(atab3_full!B46," city", "")</f>
        <v>Jacksonville (remaind, FL</v>
      </c>
      <c r="J24" s="262">
        <f>atab3_full!C46</f>
        <v>-3.0880246311426163E-2</v>
      </c>
      <c r="Q24" s="135"/>
      <c r="V24" s="135"/>
    </row>
    <row r="25" spans="2:22" x14ac:dyDescent="0.2">
      <c r="B25">
        <v>21</v>
      </c>
      <c r="C25" s="134">
        <f>atab3_full!A22</f>
        <v>11302</v>
      </c>
      <c r="D25" s="251" t="str">
        <f>SUBSTITUTE(atab3_full!B22," city", "")</f>
        <v>Baltimore, MD</v>
      </c>
      <c r="E25" s="262">
        <f>atab3_full!C22</f>
        <v>9.4502717256546021E-2</v>
      </c>
      <c r="F25" s="251"/>
      <c r="G25" s="251">
        <v>46</v>
      </c>
      <c r="H25" s="263">
        <f>atab3_full!A47</f>
        <v>37200</v>
      </c>
      <c r="I25" s="251" t="str">
        <f>SUBSTITUTE(atab3_full!B47," city", "")</f>
        <v>Fresno, CA</v>
      </c>
      <c r="J25" s="262">
        <f>atab3_full!C47</f>
        <v>7.6649002730846405E-3</v>
      </c>
      <c r="Q25" s="135"/>
      <c r="V25" s="135"/>
    </row>
    <row r="26" spans="2:22" x14ac:dyDescent="0.2">
      <c r="B26">
        <v>22</v>
      </c>
      <c r="C26" s="134">
        <f>atab3_full!A23</f>
        <v>6700</v>
      </c>
      <c r="D26" s="251" t="str">
        <f>SUBSTITUTE(atab3_full!B23," city", "")</f>
        <v>Tampa, FL</v>
      </c>
      <c r="E26" s="262">
        <f>atab3_full!C23</f>
        <v>-4.6526763588190079E-2</v>
      </c>
      <c r="F26" s="251"/>
      <c r="G26" s="251">
        <v>47</v>
      </c>
      <c r="H26" s="263">
        <f>atab3_full!A48</f>
        <v>12200</v>
      </c>
      <c r="I26" s="251" t="str">
        <f>SUBSTITUTE(atab3_full!B48," city", "")</f>
        <v>Grand Rapids, MI</v>
      </c>
      <c r="J26" s="262">
        <f>atab3_full!C48</f>
        <v>-6.5460607409477234E-2</v>
      </c>
      <c r="Q26" s="135"/>
      <c r="V26" s="135"/>
    </row>
    <row r="27" spans="2:22" x14ac:dyDescent="0.2">
      <c r="B27">
        <v>23</v>
      </c>
      <c r="C27" s="134">
        <f>atab3_full!A24</f>
        <v>37500</v>
      </c>
      <c r="D27" s="251" t="str">
        <f>SUBSTITUTE(atab3_full!B24," city", "")</f>
        <v>San Jose, CA</v>
      </c>
      <c r="E27" s="262">
        <f>atab3_full!C24</f>
        <v>0.18316368758678436</v>
      </c>
      <c r="F27" s="251"/>
      <c r="G27" s="251">
        <v>48</v>
      </c>
      <c r="H27" s="263">
        <f>atab3_full!A49</f>
        <v>20600</v>
      </c>
      <c r="I27" s="251" t="str">
        <f>SUBSTITUTE(atab3_full!B49," city", "")</f>
        <v>Manchester, NH</v>
      </c>
      <c r="J27" s="262">
        <f>atab3_full!C49</f>
        <v>1.5766214579343796E-2</v>
      </c>
      <c r="Q27" s="135"/>
      <c r="V27" s="135"/>
    </row>
    <row r="28" spans="2:22" x14ac:dyDescent="0.2">
      <c r="B28">
        <v>24</v>
      </c>
      <c r="C28" s="134">
        <f>atab3_full!A25</f>
        <v>15200</v>
      </c>
      <c r="D28" s="251" t="str">
        <f>SUBSTITUTE(atab3_full!B25," city", "")</f>
        <v>Cleveland, OH</v>
      </c>
      <c r="E28" s="262">
        <f>atab3_full!C25</f>
        <v>-4.5193765312433243E-2</v>
      </c>
      <c r="F28" s="251"/>
      <c r="G28" s="251">
        <v>49</v>
      </c>
      <c r="H28" s="263">
        <f>atab3_full!A50</f>
        <v>33803</v>
      </c>
      <c r="I28" s="251" t="str">
        <f>SUBSTITUTE(atab3_full!B50," city", "")</f>
        <v>Oklahoma City, OK</v>
      </c>
      <c r="J28" s="262">
        <f>atab3_full!C50</f>
        <v>-5.6996587663888931E-2</v>
      </c>
      <c r="Q28" s="135"/>
      <c r="V28" s="135"/>
    </row>
    <row r="29" spans="2:22" x14ac:dyDescent="0.2">
      <c r="B29" s="139">
        <v>25</v>
      </c>
      <c r="C29" s="140">
        <f>atab3_full!A26</f>
        <v>24701</v>
      </c>
      <c r="D29" s="254" t="str">
        <f>SUBSTITUTE(atab3_full!B26," city", "")</f>
        <v>St. Louis, MO</v>
      </c>
      <c r="E29" s="264">
        <f>atab3_full!C26</f>
        <v>-2.4370063096284866E-2</v>
      </c>
      <c r="F29" s="254"/>
      <c r="G29" s="254">
        <v>50</v>
      </c>
      <c r="H29" s="265">
        <f>atab3_full!A51</f>
        <v>2000</v>
      </c>
      <c r="I29" s="254" t="str">
        <f>SUBSTITUTE(atab3_full!B51," city", "")</f>
        <v>Virginia Beach, VA</v>
      </c>
      <c r="J29" s="264">
        <f>atab3_full!C51</f>
        <v>-2.0083654671907425E-2</v>
      </c>
      <c r="Q29" s="135"/>
      <c r="V29" s="135"/>
    </row>
    <row r="31" spans="2:22" ht="63" customHeight="1" x14ac:dyDescent="0.2">
      <c r="B31" s="236" t="s">
        <v>206</v>
      </c>
      <c r="C31" s="236"/>
      <c r="D31" s="236"/>
      <c r="E31" s="236"/>
      <c r="F31" s="236"/>
      <c r="G31" s="236"/>
      <c r="H31" s="236"/>
      <c r="I31" s="236"/>
      <c r="J31" s="236"/>
    </row>
    <row r="55" spans="2:3" x14ac:dyDescent="0.2">
      <c r="B55" s="134"/>
      <c r="C55" s="134"/>
    </row>
    <row r="56" spans="2:3" x14ac:dyDescent="0.2">
      <c r="B56" s="134"/>
      <c r="C56" s="134"/>
    </row>
    <row r="57" spans="2:3" x14ac:dyDescent="0.2">
      <c r="B57" s="134"/>
      <c r="C57" s="134"/>
    </row>
    <row r="58" spans="2:3" x14ac:dyDescent="0.2">
      <c r="B58" s="134"/>
      <c r="C58" s="134"/>
    </row>
    <row r="59" spans="2:3" x14ac:dyDescent="0.2">
      <c r="B59" s="134"/>
      <c r="C59" s="134"/>
    </row>
    <row r="60" spans="2:3" x14ac:dyDescent="0.2">
      <c r="B60" s="134"/>
      <c r="C60" s="134"/>
    </row>
    <row r="61" spans="2:3" x14ac:dyDescent="0.2">
      <c r="B61" s="134"/>
      <c r="C61" s="134"/>
    </row>
    <row r="62" spans="2:3" x14ac:dyDescent="0.2">
      <c r="B62" s="134"/>
      <c r="C62" s="134"/>
    </row>
    <row r="63" spans="2:3" x14ac:dyDescent="0.2">
      <c r="B63" s="134"/>
      <c r="C63" s="134"/>
    </row>
    <row r="64" spans="2:3" x14ac:dyDescent="0.2">
      <c r="B64" s="134"/>
      <c r="C64" s="134"/>
    </row>
    <row r="65" spans="2:3" x14ac:dyDescent="0.2">
      <c r="B65" s="134"/>
      <c r="C65" s="134"/>
    </row>
    <row r="66" spans="2:3" x14ac:dyDescent="0.2">
      <c r="B66" s="134"/>
      <c r="C66" s="134"/>
    </row>
    <row r="67" spans="2:3" x14ac:dyDescent="0.2">
      <c r="B67" s="134"/>
      <c r="C67" s="134"/>
    </row>
  </sheetData>
  <mergeCells count="1">
    <mergeCell ref="B31:J31"/>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5" tint="0.59996337778862885"/>
  </sheetPr>
  <dimension ref="B6:U29"/>
  <sheetViews>
    <sheetView zoomScale="110" zoomScaleNormal="110" workbookViewId="0">
      <selection activeCell="U22" sqref="U22"/>
    </sheetView>
  </sheetViews>
  <sheetFormatPr baseColWidth="10" defaultColWidth="8.83203125" defaultRowHeight="16" x14ac:dyDescent="0.2"/>
  <cols>
    <col min="1" max="1" width="8.83203125" style="47"/>
    <col min="2" max="2" width="28.6640625" style="47" customWidth="1"/>
    <col min="3" max="3" width="0.6640625" style="47" customWidth="1"/>
    <col min="4" max="4" width="16.5" style="47" hidden="1" customWidth="1"/>
    <col min="5" max="5" width="11.33203125" style="47" hidden="1" customWidth="1"/>
    <col min="6" max="6" width="1.83203125" style="47" hidden="1" customWidth="1"/>
    <col min="7" max="7" width="10.33203125" style="47" customWidth="1"/>
    <col min="8" max="8" width="8.6640625" style="47" customWidth="1"/>
    <col min="9" max="9" width="1.83203125" style="47" customWidth="1"/>
    <col min="10" max="12" width="0" style="47" hidden="1" customWidth="1"/>
    <col min="13" max="13" width="10.33203125" style="47" customWidth="1"/>
    <col min="14" max="14" width="11.1640625" style="47" customWidth="1"/>
    <col min="15" max="15" width="1.83203125" style="47" customWidth="1"/>
    <col min="16" max="18" width="0" style="47" hidden="1" customWidth="1"/>
    <col min="19" max="19" width="10.83203125" style="47" customWidth="1"/>
    <col min="20" max="20" width="9.33203125" style="47" customWidth="1"/>
    <col min="21" max="16384" width="8.83203125" style="47"/>
  </cols>
  <sheetData>
    <row r="6" spans="2:21" ht="33" customHeight="1" x14ac:dyDescent="0.2">
      <c r="B6" s="237" t="s">
        <v>223</v>
      </c>
      <c r="C6" s="237"/>
      <c r="D6" s="237"/>
      <c r="E6" s="237"/>
      <c r="F6" s="237"/>
      <c r="G6" s="237"/>
      <c r="H6" s="237"/>
      <c r="I6" s="237"/>
      <c r="J6" s="237"/>
      <c r="K6" s="237"/>
      <c r="L6" s="237"/>
      <c r="M6" s="237"/>
      <c r="N6" s="237"/>
      <c r="O6" s="237"/>
      <c r="P6" s="237"/>
      <c r="Q6" s="237"/>
      <c r="R6" s="237"/>
      <c r="S6" s="237"/>
      <c r="T6" s="237"/>
    </row>
    <row r="7" spans="2:21" ht="4.5" customHeight="1" x14ac:dyDescent="0.2"/>
    <row r="8" spans="2:21" ht="4.25" customHeight="1" x14ac:dyDescent="0.2">
      <c r="B8" s="71"/>
      <c r="C8" s="200"/>
      <c r="D8" s="200"/>
      <c r="E8" s="200"/>
      <c r="F8" s="73"/>
      <c r="G8" s="200"/>
      <c r="H8" s="200"/>
      <c r="I8" s="74"/>
    </row>
    <row r="9" spans="2:21" ht="34" customHeight="1" x14ac:dyDescent="0.2">
      <c r="B9" s="55"/>
      <c r="C9" s="55"/>
      <c r="D9" s="240" t="s">
        <v>92</v>
      </c>
      <c r="E9" s="240"/>
      <c r="F9" s="240"/>
      <c r="G9" s="240"/>
      <c r="H9" s="240"/>
      <c r="I9" s="74"/>
      <c r="J9" s="240" t="s">
        <v>93</v>
      </c>
      <c r="K9" s="240"/>
      <c r="L9" s="240"/>
      <c r="M9" s="240"/>
      <c r="N9" s="240"/>
      <c r="P9" s="240" t="s">
        <v>94</v>
      </c>
      <c r="Q9" s="240"/>
      <c r="R9" s="240"/>
      <c r="S9" s="240"/>
      <c r="T9" s="240"/>
    </row>
    <row r="10" spans="2:21" hidden="1" x14ac:dyDescent="0.2">
      <c r="B10" s="74"/>
      <c r="C10" s="55"/>
      <c r="D10" s="200" t="s">
        <v>18</v>
      </c>
      <c r="E10" s="200"/>
      <c r="F10" s="75"/>
      <c r="G10" s="200" t="s">
        <v>19</v>
      </c>
      <c r="H10" s="200"/>
      <c r="I10" s="74"/>
      <c r="J10" s="200" t="s">
        <v>18</v>
      </c>
      <c r="K10" s="200"/>
      <c r="L10" s="75"/>
      <c r="M10" s="200" t="s">
        <v>19</v>
      </c>
      <c r="N10" s="200"/>
      <c r="P10" s="200" t="s">
        <v>18</v>
      </c>
      <c r="Q10" s="200"/>
      <c r="R10" s="75"/>
      <c r="S10" s="200" t="s">
        <v>19</v>
      </c>
      <c r="T10" s="200"/>
    </row>
    <row r="11" spans="2:21" s="52" customFormat="1" ht="39.75" customHeight="1" x14ac:dyDescent="0.2">
      <c r="B11" s="55"/>
      <c r="C11" s="55"/>
      <c r="D11" s="55" t="s">
        <v>20</v>
      </c>
      <c r="E11" s="55" t="s">
        <v>21</v>
      </c>
      <c r="F11" s="55"/>
      <c r="G11" s="50" t="s">
        <v>20</v>
      </c>
      <c r="H11" s="50" t="s">
        <v>21</v>
      </c>
      <c r="I11" s="55"/>
      <c r="J11" s="55" t="s">
        <v>20</v>
      </c>
      <c r="K11" s="55" t="s">
        <v>21</v>
      </c>
      <c r="L11" s="55"/>
      <c r="M11" s="50" t="s">
        <v>20</v>
      </c>
      <c r="N11" s="50" t="s">
        <v>21</v>
      </c>
      <c r="P11" s="55" t="s">
        <v>20</v>
      </c>
      <c r="Q11" s="55" t="s">
        <v>21</v>
      </c>
      <c r="R11" s="55"/>
      <c r="S11" s="50" t="s">
        <v>20</v>
      </c>
      <c r="T11" s="50" t="s">
        <v>21</v>
      </c>
    </row>
    <row r="12" spans="2:21" s="52" customFormat="1" ht="21" customHeight="1" x14ac:dyDescent="0.2">
      <c r="B12" s="72"/>
      <c r="C12" s="72"/>
      <c r="D12" s="77" t="s">
        <v>22</v>
      </c>
      <c r="E12" s="77" t="s">
        <v>23</v>
      </c>
      <c r="F12" s="72"/>
      <c r="G12" s="77" t="s">
        <v>22</v>
      </c>
      <c r="H12" s="77" t="s">
        <v>23</v>
      </c>
      <c r="I12" s="55"/>
      <c r="J12" s="77" t="s">
        <v>22</v>
      </c>
      <c r="K12" s="77" t="s">
        <v>23</v>
      </c>
      <c r="L12" s="72"/>
      <c r="M12" s="77" t="s">
        <v>24</v>
      </c>
      <c r="N12" s="77" t="s">
        <v>25</v>
      </c>
      <c r="P12" s="77" t="s">
        <v>22</v>
      </c>
      <c r="Q12" s="77" t="s">
        <v>23</v>
      </c>
      <c r="R12" s="72"/>
      <c r="S12" s="77" t="s">
        <v>26</v>
      </c>
      <c r="T12" s="77" t="s">
        <v>85</v>
      </c>
    </row>
    <row r="13" spans="2:21" s="52" customFormat="1" ht="34" x14ac:dyDescent="0.2">
      <c r="B13" s="54" t="s">
        <v>35</v>
      </c>
      <c r="C13" s="78"/>
      <c r="D13" s="78">
        <f>VALUE(disc7.2!B7)</f>
        <v>0.65259999999999996</v>
      </c>
      <c r="E13" s="79">
        <v>1</v>
      </c>
      <c r="G13" s="78">
        <f>VALUE(disc7.2!C7)</f>
        <v>0.1467</v>
      </c>
      <c r="H13" s="118">
        <v>1</v>
      </c>
      <c r="I13" s="78"/>
      <c r="J13" s="78">
        <f>VALUE(disc7.18!B26)</f>
        <v>0.64549999999999996</v>
      </c>
      <c r="K13" s="79">
        <v>1</v>
      </c>
      <c r="M13" s="78">
        <f>VALUE(disc7.18!C26)</f>
        <v>0.14000000000000001</v>
      </c>
      <c r="N13" s="118">
        <v>1</v>
      </c>
      <c r="O13" s="79"/>
      <c r="P13" s="78">
        <f>VALUE(disc7.19!B7)</f>
        <v>0.65329999999999999</v>
      </c>
      <c r="Q13" s="79">
        <v>1</v>
      </c>
      <c r="S13" s="78">
        <f>VALUE(disc7.19!C7)</f>
        <v>0.1447</v>
      </c>
      <c r="T13" s="118">
        <v>1</v>
      </c>
      <c r="U13" s="79"/>
    </row>
    <row r="14" spans="2:21" s="52" customFormat="1" ht="38" customHeight="1" x14ac:dyDescent="0.2">
      <c r="B14" s="241" t="s">
        <v>27</v>
      </c>
      <c r="C14" s="241"/>
      <c r="D14" s="241"/>
      <c r="E14" s="241"/>
      <c r="F14" s="241"/>
      <c r="G14" s="241"/>
      <c r="H14" s="241"/>
      <c r="I14" s="241"/>
      <c r="J14" s="241"/>
      <c r="K14" s="241"/>
      <c r="L14" s="241"/>
      <c r="M14" s="241"/>
      <c r="N14" s="241"/>
      <c r="O14" s="241"/>
      <c r="P14" s="241"/>
      <c r="Q14" s="241"/>
      <c r="R14" s="241"/>
      <c r="S14" s="241"/>
      <c r="T14" s="241"/>
      <c r="U14" s="78"/>
    </row>
    <row r="15" spans="2:21" s="52" customFormat="1" ht="17" x14ac:dyDescent="0.2">
      <c r="B15" s="54" t="s">
        <v>28</v>
      </c>
      <c r="C15" s="78"/>
      <c r="D15" s="78">
        <f>SQRT((D$13^2)*E15)</f>
        <v>0.52387157600312684</v>
      </c>
      <c r="E15" s="79">
        <f>VALUE(disc7.2!B8)</f>
        <v>0.64439999999999997</v>
      </c>
      <c r="G15" s="78">
        <f>SQRT((G$13^2)*H15)</f>
        <v>8.079162046276829E-2</v>
      </c>
      <c r="H15" s="119">
        <f>VALUE(disc7.2!C8)</f>
        <v>0.30330000000000001</v>
      </c>
      <c r="I15" s="55"/>
      <c r="J15" s="78">
        <f>SQRT((J$13^2)*K15)</f>
        <v>0.52820677712426223</v>
      </c>
      <c r="K15" s="78">
        <f>VALUE(disc7.18!B27)</f>
        <v>0.66959999999999997</v>
      </c>
      <c r="M15" s="78">
        <f>SQRT((M$13^2)*N15)</f>
        <v>7.5600000000000001E-2</v>
      </c>
      <c r="N15" s="119">
        <f>VALUE(disc7.18!C27)</f>
        <v>0.29160000000000003</v>
      </c>
      <c r="O15" s="78"/>
      <c r="P15" s="78">
        <f>SQRT((P$13^2)*Q15)</f>
        <v>0.52536857116028557</v>
      </c>
      <c r="Q15" s="78">
        <f>VALUE(disc7.19!B8)</f>
        <v>0.64670000000000005</v>
      </c>
      <c r="S15" s="78">
        <f>SQRT((S$13^2)*T15)</f>
        <v>8.0617511348341678E-2</v>
      </c>
      <c r="T15" s="119">
        <f>VALUE(disc7.19!C8)</f>
        <v>0.31040000000000001</v>
      </c>
      <c r="U15" s="78"/>
    </row>
    <row r="16" spans="2:21" s="52" customFormat="1" ht="19.5" customHeight="1" x14ac:dyDescent="0.2">
      <c r="B16" s="54" t="s">
        <v>31</v>
      </c>
      <c r="C16" s="78"/>
      <c r="D16" s="78">
        <f>SQRT((D$13^2)*E16)</f>
        <v>0.22284163932263645</v>
      </c>
      <c r="E16" s="79">
        <f>VALUE(disc7.2!B9)</f>
        <v>0.1166</v>
      </c>
      <c r="G16" s="78">
        <f>SQRT((G$13^2)*H16)</f>
        <v>7.935371707739973E-2</v>
      </c>
      <c r="H16" s="119">
        <f>VALUE(disc7.2!C9)</f>
        <v>0.29260000000000003</v>
      </c>
      <c r="I16" s="55"/>
      <c r="J16" s="78">
        <f>SQRT((J$13^2)*K16)</f>
        <v>0.22032268182145931</v>
      </c>
      <c r="K16" s="78">
        <f>VALUE(disc7.18!B28)</f>
        <v>0.11650000000000001</v>
      </c>
      <c r="M16" s="78">
        <f>SQRT((M$13^2)*N16)</f>
        <v>7.7241439655148847E-2</v>
      </c>
      <c r="N16" s="119">
        <f>VALUE(disc7.18!C28)</f>
        <v>0.3044</v>
      </c>
      <c r="O16" s="78"/>
      <c r="P16" s="78">
        <f>SQRT((P$13^2)*Q16)</f>
        <v>0.22706287127577685</v>
      </c>
      <c r="Q16" s="78">
        <f>VALUE(disc7.19!B9)</f>
        <v>0.1208</v>
      </c>
      <c r="S16" s="78">
        <f>SQRT((S$13^2)*T16)</f>
        <v>7.6963534618675097E-2</v>
      </c>
      <c r="T16" s="119">
        <f>VALUE(disc7.19!C9)</f>
        <v>0.28289999999999998</v>
      </c>
      <c r="U16" s="78"/>
    </row>
    <row r="17" spans="2:21" s="52" customFormat="1" ht="19.5" customHeight="1" x14ac:dyDescent="0.2">
      <c r="B17" s="54" t="s">
        <v>175</v>
      </c>
      <c r="C17" s="78"/>
      <c r="D17" s="78">
        <f>SQRT((D$13^2)*E17)</f>
        <v>0.13467931210249032</v>
      </c>
      <c r="E17" s="79">
        <f>VALUE(disc7.2!B10)</f>
        <v>4.2590000000000003E-2</v>
      </c>
      <c r="G17" s="78">
        <f>SQRT((G$13^2)*H17)</f>
        <v>5.7344502718220513E-3</v>
      </c>
      <c r="H17" s="119">
        <f>VALUE(disc7.2!C10)</f>
        <v>1.5280000000000001E-3</v>
      </c>
      <c r="I17" s="55"/>
      <c r="J17" s="78">
        <f>SQRT((J$13^2)*K17)</f>
        <v>0.13418018297237486</v>
      </c>
      <c r="K17" s="78">
        <f>VALUE(disc7.18!B29)</f>
        <v>4.3209999999999998E-2</v>
      </c>
      <c r="M17" s="78">
        <f>SQRT((M$13^2)*N17)</f>
        <v>5.9281363007272362E-3</v>
      </c>
      <c r="N17" s="119">
        <f>VALUE(disc7.18!C29)</f>
        <v>1.7930000000000001E-3</v>
      </c>
      <c r="O17" s="78"/>
      <c r="P17" s="78">
        <f>SQRT((P$13^2)*Q17)</f>
        <v>0.13447510442197097</v>
      </c>
      <c r="Q17" s="78">
        <f>VALUE(disc7.19!B10)</f>
        <v>4.2369999999999998E-2</v>
      </c>
      <c r="S17" s="78">
        <f>SQRT((S$13^2)*T17)</f>
        <v>6.0445816273750489E-3</v>
      </c>
      <c r="T17" s="119">
        <f>VALUE(disc7.19!C10)</f>
        <v>1.745E-3</v>
      </c>
      <c r="U17" s="78"/>
    </row>
    <row r="18" spans="2:21" s="52" customFormat="1" ht="19.5" hidden="1" customHeight="1" x14ac:dyDescent="0.2">
      <c r="B18" s="54" t="s">
        <v>29</v>
      </c>
      <c r="C18" s="78"/>
      <c r="D18" s="78">
        <f>SQRT((D$13^2)*E18)</f>
        <v>0.2321091879698001</v>
      </c>
      <c r="E18" s="79">
        <f>VALUE(disc7.2!B11)</f>
        <v>0.1265</v>
      </c>
      <c r="G18" s="78" t="e">
        <f>SQRT((G$13^2)*H18)</f>
        <v>#VALUE!</v>
      </c>
      <c r="H18" s="79" t="e">
        <f>VALUE(disc7.2!C11)</f>
        <v>#VALUE!</v>
      </c>
      <c r="I18" s="55"/>
      <c r="J18" s="78">
        <f>SQRT((J$13^2)*K18)</f>
        <v>0.22360775925714205</v>
      </c>
      <c r="K18" s="78">
        <f>VALUE(disc7.18!B30)</f>
        <v>0.12</v>
      </c>
      <c r="M18" s="78" t="e">
        <f>SQRT((M$13^2)*N18)</f>
        <v>#VALUE!</v>
      </c>
      <c r="N18" s="119" t="e">
        <f>VALUE(disc7.18!C30)</f>
        <v>#VALUE!</v>
      </c>
      <c r="O18" s="78"/>
      <c r="P18" s="78">
        <f>SQRT((P$13^2)*Q18)</f>
        <v>0.23536940226376069</v>
      </c>
      <c r="Q18" s="78">
        <f>VALUE(disc7.19!B11)</f>
        <v>0.1298</v>
      </c>
      <c r="S18" s="78">
        <f>SQRT((S$13^2)*T18)</f>
        <v>1.4469999999999999E-4</v>
      </c>
      <c r="T18" s="119">
        <f>VALUE(disc7.19!C11)</f>
        <v>9.9999999999999995E-7</v>
      </c>
      <c r="U18" s="78"/>
    </row>
    <row r="19" spans="2:21" s="52" customFormat="1" ht="33" customHeight="1" x14ac:dyDescent="0.2">
      <c r="B19" s="238" t="s">
        <v>30</v>
      </c>
      <c r="C19" s="238"/>
      <c r="D19" s="238"/>
      <c r="E19" s="238"/>
      <c r="F19" s="238"/>
      <c r="G19" s="238"/>
      <c r="H19" s="238"/>
      <c r="I19" s="238"/>
      <c r="J19" s="238"/>
      <c r="K19" s="238"/>
      <c r="L19" s="238"/>
      <c r="M19" s="238"/>
      <c r="N19" s="238"/>
      <c r="O19" s="238"/>
      <c r="P19" s="238"/>
      <c r="Q19" s="238"/>
      <c r="R19" s="238"/>
      <c r="S19" s="238"/>
      <c r="T19" s="238"/>
    </row>
    <row r="20" spans="2:21" s="52" customFormat="1" ht="21.75" customHeight="1" x14ac:dyDescent="0.2">
      <c r="B20" s="54" t="s">
        <v>32</v>
      </c>
      <c r="C20" s="78"/>
      <c r="D20" s="78">
        <f>(E20*(D13^2)/2)/(D15*D16)</f>
        <v>0.18240761429379049</v>
      </c>
      <c r="E20" s="78">
        <f>VALUE(disc7.2!B12)</f>
        <v>0.1</v>
      </c>
      <c r="G20" s="78">
        <f>(H20*(G13^2)/2)/(G15*G16)</f>
        <v>0.64182188529322148</v>
      </c>
      <c r="H20" s="119">
        <f>VALUE(disc7.2!C12)</f>
        <v>0.38240000000000002</v>
      </c>
      <c r="I20" s="55"/>
      <c r="J20" s="78">
        <f>(K20*(J13^2)/2)/(J15*J16)</f>
        <v>0.1586288061504374</v>
      </c>
      <c r="K20" s="78">
        <f>VALUE(disc7.18!B31)</f>
        <v>8.8609999999999994E-2</v>
      </c>
      <c r="M20" s="78">
        <f>(N20*(M13^2)/2)/(M15*M16)</f>
        <v>0.61742428615598344</v>
      </c>
      <c r="N20" s="119">
        <f>VALUE(disc7.18!C31)</f>
        <v>0.3679</v>
      </c>
      <c r="O20" s="78"/>
      <c r="P20" s="78">
        <f>(Q20*(P13^2)/2)/(P15*P16)</f>
        <v>0.16525821770942833</v>
      </c>
      <c r="Q20" s="78">
        <f>VALUE(disc7.19!B12)</f>
        <v>9.2380000000000004E-2</v>
      </c>
      <c r="S20" s="78">
        <f>(T20*(S13^2)/2)/(S15*S16)</f>
        <v>0.64336803486284666</v>
      </c>
      <c r="T20" s="119">
        <f>VALUE(disc7.19!C12)</f>
        <v>0.38129999999999997</v>
      </c>
      <c r="U20" s="78"/>
    </row>
    <row r="21" spans="2:21" s="52" customFormat="1" ht="19.5" customHeight="1" x14ac:dyDescent="0.2">
      <c r="B21" s="54" t="s">
        <v>33</v>
      </c>
      <c r="C21" s="78"/>
      <c r="D21" s="78">
        <f>(E21*(D13^2)/2)/(D15*D17)</f>
        <v>-9.9900212540645961E-2</v>
      </c>
      <c r="E21" s="78">
        <f>VALUE(disc7.2!B13)</f>
        <v>-3.3099999999999997E-2</v>
      </c>
      <c r="G21" s="78">
        <f>(H21*(G13^2)/2)/(G15*G17)</f>
        <v>0.22759036887831183</v>
      </c>
      <c r="H21" s="119">
        <f>VALUE(disc7.2!C13)</f>
        <v>9.7990000000000004E-3</v>
      </c>
      <c r="I21" s="55"/>
      <c r="J21" s="78">
        <f>(K21*(J13^2)/2)/(J15*J17)</f>
        <v>-0.11449265084555597</v>
      </c>
      <c r="K21" s="78">
        <f>VALUE(disc7.18!B32)</f>
        <v>-3.8949999999999999E-2</v>
      </c>
      <c r="M21" s="78">
        <f>(N21*(M13^2)/2)/(M15*M17)</f>
        <v>0.33674939222490552</v>
      </c>
      <c r="N21" s="119">
        <f>VALUE(disc7.18!C32)</f>
        <v>1.54E-2</v>
      </c>
      <c r="O21" s="78"/>
      <c r="P21" s="78">
        <f>(Q21*(P13^2)/2)/(P15*P17)</f>
        <v>-0.10275989483574903</v>
      </c>
      <c r="Q21" s="78">
        <f>VALUE(disc7.19!B13)</f>
        <v>-3.4020000000000002E-2</v>
      </c>
      <c r="S21" s="78">
        <f>(T21*(S13^2)/2)/(S15*S17)</f>
        <v>0.25887998770501292</v>
      </c>
      <c r="T21" s="119">
        <f>VALUE(disc7.19!C13)</f>
        <v>1.205E-2</v>
      </c>
      <c r="U21" s="78"/>
    </row>
    <row r="22" spans="2:21" s="52" customFormat="1" ht="19.5" customHeight="1" x14ac:dyDescent="0.2">
      <c r="B22" s="53" t="s">
        <v>34</v>
      </c>
      <c r="C22" s="80"/>
      <c r="D22" s="80">
        <f>(E22*(D13^2)/2)/(D16*D17)</f>
        <v>2.046975886038448E-2</v>
      </c>
      <c r="E22" s="80">
        <f>VALUE(disc7.2!B15)</f>
        <v>2.885E-3</v>
      </c>
      <c r="F22" s="81"/>
      <c r="G22" s="80">
        <f>(H22*(G13^2)/2)/(G16*G17)</f>
        <v>0.24521663172883729</v>
      </c>
      <c r="H22" s="120">
        <f>VALUE(disc7.2!C15)</f>
        <v>1.0370000000000001E-2</v>
      </c>
      <c r="I22" s="55"/>
      <c r="J22" s="80">
        <f>(K22*(J13^2)/2)/(J16*J17)</f>
        <v>1.2219797290972551E-2</v>
      </c>
      <c r="K22" s="80">
        <f>VALUE(disc7.18!B34)</f>
        <v>1.7340000000000001E-3</v>
      </c>
      <c r="M22" s="80">
        <f>(N22*(M13^2)/2)/(M16*M17)</f>
        <v>0.40642695199114559</v>
      </c>
      <c r="N22" s="120">
        <f>VALUE(disc7.18!C34)</f>
        <v>1.899E-2</v>
      </c>
      <c r="O22" s="80"/>
      <c r="P22" s="80">
        <f>(Q22*(P13^2)/2)/(P16*P17)</f>
        <v>1.976453996782929E-2</v>
      </c>
      <c r="Q22" s="80">
        <f>VALUE(disc7.19!B15)</f>
        <v>2.8279999999999998E-3</v>
      </c>
      <c r="S22" s="80">
        <f>(T22*(S13^2)/2)/(S16*S17)</f>
        <v>0.23899033152788951</v>
      </c>
      <c r="T22" s="120">
        <f>VALUE(disc7.19!C15)</f>
        <v>1.0619999999999999E-2</v>
      </c>
      <c r="U22" s="80"/>
    </row>
    <row r="23" spans="2:21" s="52" customFormat="1" ht="36.5" customHeight="1" x14ac:dyDescent="0.2">
      <c r="B23" s="53" t="s">
        <v>95</v>
      </c>
      <c r="C23" s="80"/>
      <c r="D23" s="80"/>
      <c r="E23" s="80"/>
      <c r="F23" s="81"/>
      <c r="G23" s="239">
        <f>VALUE(disc7.2!$B$18)/1000000000</f>
        <v>2.5230000000000001</v>
      </c>
      <c r="H23" s="239"/>
      <c r="I23" s="72"/>
      <c r="J23" s="80"/>
      <c r="K23" s="80"/>
      <c r="L23" s="81"/>
      <c r="M23" s="239">
        <f>VALUE(disc7.18!$B$37)/1000000000</f>
        <v>1.835</v>
      </c>
      <c r="N23" s="239"/>
      <c r="O23" s="80"/>
      <c r="P23" s="80"/>
      <c r="Q23" s="80"/>
      <c r="R23" s="81"/>
      <c r="S23" s="239">
        <f>VALUE(disc7.19!$B$18)/1000000000</f>
        <v>1.901</v>
      </c>
      <c r="T23" s="239"/>
      <c r="U23" s="78"/>
    </row>
    <row r="24" spans="2:21" s="52" customFormat="1" ht="8.25" customHeight="1" x14ac:dyDescent="0.2">
      <c r="B24" s="54"/>
      <c r="C24" s="78"/>
      <c r="D24" s="78"/>
      <c r="E24" s="78"/>
      <c r="G24" s="78"/>
      <c r="H24" s="78"/>
      <c r="I24" s="55"/>
      <c r="M24" s="79"/>
      <c r="N24" s="79"/>
      <c r="O24" s="79"/>
      <c r="S24" s="79"/>
      <c r="T24" s="79"/>
    </row>
    <row r="25" spans="2:21" s="52" customFormat="1" ht="17" customHeight="1" x14ac:dyDescent="0.2">
      <c r="B25" s="237" t="s">
        <v>188</v>
      </c>
      <c r="C25" s="237"/>
      <c r="D25" s="237"/>
      <c r="E25" s="237"/>
      <c r="F25" s="237"/>
      <c r="G25" s="237"/>
      <c r="H25" s="237"/>
      <c r="I25" s="237"/>
      <c r="J25" s="237"/>
      <c r="K25" s="237"/>
      <c r="L25" s="237"/>
      <c r="M25" s="237"/>
      <c r="N25" s="237"/>
      <c r="O25" s="237"/>
      <c r="P25" s="237"/>
      <c r="Q25" s="237"/>
      <c r="R25" s="237"/>
      <c r="S25" s="237"/>
      <c r="T25" s="237"/>
    </row>
    <row r="26" spans="2:21" ht="17" customHeight="1" x14ac:dyDescent="0.2">
      <c r="B26" s="237"/>
      <c r="C26" s="237"/>
      <c r="D26" s="237"/>
      <c r="E26" s="237"/>
      <c r="F26" s="237"/>
      <c r="G26" s="237"/>
      <c r="H26" s="237"/>
      <c r="I26" s="237"/>
      <c r="J26" s="237"/>
      <c r="K26" s="237"/>
      <c r="L26" s="237"/>
      <c r="M26" s="237"/>
      <c r="N26" s="237"/>
      <c r="O26" s="237"/>
      <c r="P26" s="237"/>
      <c r="Q26" s="237"/>
      <c r="R26" s="237"/>
      <c r="S26" s="237"/>
      <c r="T26" s="237"/>
    </row>
    <row r="27" spans="2:21" ht="17" customHeight="1" x14ac:dyDescent="0.2">
      <c r="B27" s="237"/>
      <c r="C27" s="237"/>
      <c r="D27" s="237"/>
      <c r="E27" s="237"/>
      <c r="F27" s="237"/>
      <c r="G27" s="237"/>
      <c r="H27" s="237"/>
      <c r="I27" s="237"/>
      <c r="J27" s="237"/>
      <c r="K27" s="237"/>
      <c r="L27" s="237"/>
      <c r="M27" s="237"/>
      <c r="N27" s="237"/>
      <c r="O27" s="237"/>
      <c r="P27" s="237"/>
      <c r="Q27" s="237"/>
      <c r="R27" s="237"/>
      <c r="S27" s="237"/>
      <c r="T27" s="237"/>
    </row>
    <row r="28" spans="2:21" ht="35" customHeight="1" x14ac:dyDescent="0.2">
      <c r="B28" s="237"/>
      <c r="C28" s="237"/>
      <c r="D28" s="237"/>
      <c r="E28" s="237"/>
      <c r="F28" s="237"/>
      <c r="G28" s="237"/>
      <c r="H28" s="237"/>
      <c r="I28" s="237"/>
      <c r="J28" s="237"/>
      <c r="K28" s="237"/>
      <c r="L28" s="237"/>
      <c r="M28" s="237"/>
      <c r="N28" s="237"/>
      <c r="O28" s="237"/>
      <c r="P28" s="237"/>
      <c r="Q28" s="237"/>
      <c r="R28" s="237"/>
      <c r="S28" s="237"/>
      <c r="T28" s="237"/>
    </row>
    <row r="29" spans="2:21" ht="36" hidden="1" customHeight="1" x14ac:dyDescent="0.2">
      <c r="B29" s="237"/>
      <c r="C29" s="237"/>
      <c r="D29" s="237"/>
      <c r="E29" s="237"/>
      <c r="F29" s="237"/>
      <c r="G29" s="237"/>
      <c r="H29" s="237"/>
      <c r="I29" s="237"/>
      <c r="J29" s="237"/>
      <c r="K29" s="237"/>
      <c r="L29" s="237"/>
      <c r="M29" s="237"/>
      <c r="N29" s="237"/>
      <c r="O29" s="237"/>
      <c r="P29" s="237"/>
      <c r="Q29" s="237"/>
      <c r="R29" s="237"/>
      <c r="S29" s="237"/>
      <c r="T29" s="237"/>
    </row>
  </sheetData>
  <mergeCells count="18">
    <mergeCell ref="B19:T19"/>
    <mergeCell ref="M23:N23"/>
    <mergeCell ref="S23:T23"/>
    <mergeCell ref="B25:T29"/>
    <mergeCell ref="D9:H9"/>
    <mergeCell ref="J9:N9"/>
    <mergeCell ref="J10:K10"/>
    <mergeCell ref="M10:N10"/>
    <mergeCell ref="P9:T9"/>
    <mergeCell ref="P10:Q10"/>
    <mergeCell ref="S10:T10"/>
    <mergeCell ref="B14:T14"/>
    <mergeCell ref="G23:H23"/>
    <mergeCell ref="B6:T6"/>
    <mergeCell ref="C8:E8"/>
    <mergeCell ref="G8:H8"/>
    <mergeCell ref="D10:E10"/>
    <mergeCell ref="G10:H10"/>
  </mergeCells>
  <pageMargins left="0.7" right="0.7" top="0.75" bottom="0.75" header="0.3" footer="0.3"/>
  <pageSetup orientation="portrait" horizontalDpi="1200" verticalDpi="1200"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5" tint="0.59996337778862885"/>
  </sheetPr>
  <dimension ref="B6:O28"/>
  <sheetViews>
    <sheetView zoomScale="110" zoomScaleNormal="110" workbookViewId="0">
      <selection activeCell="A18" sqref="A18"/>
    </sheetView>
  </sheetViews>
  <sheetFormatPr baseColWidth="10" defaultColWidth="8.83203125" defaultRowHeight="16" x14ac:dyDescent="0.2"/>
  <cols>
    <col min="1" max="1" width="8.83203125" style="47"/>
    <col min="2" max="2" width="25" style="47" customWidth="1"/>
    <col min="3" max="3" width="1.83203125" style="47" customWidth="1"/>
    <col min="4" max="4" width="11.83203125" style="47" customWidth="1"/>
    <col min="5" max="5" width="7.83203125" style="47" customWidth="1"/>
    <col min="6" max="6" width="1.83203125" style="47" customWidth="1"/>
    <col min="7" max="7" width="12.6640625" style="47" customWidth="1"/>
    <col min="8" max="8" width="9.5" style="47" customWidth="1"/>
    <col min="9" max="9" width="2" style="47" customWidth="1"/>
    <col min="10" max="10" width="12.5" style="47" customWidth="1"/>
    <col min="11" max="11" width="8.1640625" style="47" customWidth="1"/>
    <col min="12" max="12" width="2.1640625" style="47" customWidth="1"/>
    <col min="13" max="13" width="13" style="47" customWidth="1"/>
    <col min="14" max="14" width="7.83203125" style="47" customWidth="1"/>
    <col min="15" max="16384" width="8.83203125" style="47"/>
  </cols>
  <sheetData>
    <row r="6" spans="2:15" x14ac:dyDescent="0.2">
      <c r="B6" s="47" t="s">
        <v>222</v>
      </c>
    </row>
    <row r="7" spans="2:15" ht="4.5" customHeight="1" x14ac:dyDescent="0.2"/>
    <row r="8" spans="2:15" ht="4.25" customHeight="1" x14ac:dyDescent="0.2">
      <c r="B8" s="71"/>
      <c r="C8" s="200"/>
      <c r="D8" s="200"/>
      <c r="E8" s="200"/>
      <c r="F8" s="73"/>
      <c r="G8" s="200"/>
      <c r="H8" s="200"/>
      <c r="I8" s="74"/>
    </row>
    <row r="9" spans="2:15" x14ac:dyDescent="0.2">
      <c r="B9" s="74"/>
      <c r="C9" s="55"/>
      <c r="D9" s="201" t="s">
        <v>96</v>
      </c>
      <c r="E9" s="201"/>
      <c r="F9" s="201"/>
      <c r="G9" s="201"/>
      <c r="H9" s="201"/>
      <c r="I9" s="74"/>
      <c r="J9" s="201" t="s">
        <v>97</v>
      </c>
      <c r="K9" s="201"/>
      <c r="L9" s="201"/>
      <c r="M9" s="201"/>
      <c r="N9" s="201"/>
    </row>
    <row r="10" spans="2:15" ht="20.25" customHeight="1" x14ac:dyDescent="0.2">
      <c r="B10" s="74"/>
      <c r="C10" s="55"/>
      <c r="D10" s="200" t="s">
        <v>18</v>
      </c>
      <c r="E10" s="200"/>
      <c r="F10" s="75"/>
      <c r="G10" s="200" t="s">
        <v>19</v>
      </c>
      <c r="H10" s="200"/>
      <c r="I10" s="74"/>
      <c r="J10" s="200" t="s">
        <v>18</v>
      </c>
      <c r="K10" s="200"/>
      <c r="L10" s="75"/>
      <c r="M10" s="200" t="s">
        <v>19</v>
      </c>
      <c r="N10" s="200"/>
    </row>
    <row r="11" spans="2:15" s="52" customFormat="1" ht="34" x14ac:dyDescent="0.2">
      <c r="B11" s="55"/>
      <c r="C11" s="55"/>
      <c r="D11" s="50" t="s">
        <v>20</v>
      </c>
      <c r="E11" s="50" t="s">
        <v>21</v>
      </c>
      <c r="F11" s="55"/>
      <c r="G11" s="50" t="s">
        <v>20</v>
      </c>
      <c r="H11" s="50" t="s">
        <v>21</v>
      </c>
      <c r="I11" s="55"/>
      <c r="J11" s="50" t="s">
        <v>20</v>
      </c>
      <c r="K11" s="50" t="s">
        <v>21</v>
      </c>
      <c r="L11" s="55"/>
      <c r="M11" s="50" t="s">
        <v>20</v>
      </c>
      <c r="N11" s="50" t="s">
        <v>21</v>
      </c>
    </row>
    <row r="12" spans="2:15" s="52" customFormat="1" ht="18.5" customHeight="1" x14ac:dyDescent="0.2">
      <c r="B12" s="72"/>
      <c r="C12" s="72"/>
      <c r="D12" s="77" t="s">
        <v>22</v>
      </c>
      <c r="E12" s="77" t="s">
        <v>23</v>
      </c>
      <c r="F12" s="72"/>
      <c r="G12" s="77" t="s">
        <v>24</v>
      </c>
      <c r="H12" s="77" t="s">
        <v>25</v>
      </c>
      <c r="I12" s="72"/>
      <c r="J12" s="77" t="s">
        <v>26</v>
      </c>
      <c r="K12" s="77" t="s">
        <v>85</v>
      </c>
      <c r="L12" s="77" t="s">
        <v>99</v>
      </c>
      <c r="M12" s="77" t="s">
        <v>86</v>
      </c>
      <c r="N12" s="77" t="s">
        <v>87</v>
      </c>
    </row>
    <row r="13" spans="2:15" s="52" customFormat="1" ht="34" x14ac:dyDescent="0.2">
      <c r="B13" s="54" t="s">
        <v>35</v>
      </c>
      <c r="C13" s="78"/>
      <c r="D13" s="78">
        <f>VALUE(disc7.17!B6)</f>
        <v>0.51370000000000005</v>
      </c>
      <c r="E13" s="118">
        <v>1</v>
      </c>
      <c r="G13" s="78">
        <f>VALUE(disc7.17!C6)</f>
        <v>9.7299999999999998E-2</v>
      </c>
      <c r="H13" s="118">
        <v>1</v>
      </c>
      <c r="J13" s="78">
        <f>VALUE(disc7.17!D6)</f>
        <v>0.6784</v>
      </c>
      <c r="K13" s="118">
        <v>1</v>
      </c>
      <c r="M13" s="78">
        <f>VALUE(disc7.17!E6)</f>
        <v>0.17829999999999999</v>
      </c>
      <c r="N13" s="118">
        <v>1</v>
      </c>
      <c r="O13" s="79"/>
    </row>
    <row r="14" spans="2:15" s="52" customFormat="1" ht="22.5" customHeight="1" x14ac:dyDescent="0.2">
      <c r="B14" s="238" t="s">
        <v>27</v>
      </c>
      <c r="C14" s="238"/>
      <c r="D14" s="238"/>
      <c r="E14" s="238"/>
      <c r="F14" s="238"/>
      <c r="G14" s="238"/>
      <c r="H14" s="238"/>
      <c r="I14" s="238"/>
      <c r="J14" s="238"/>
      <c r="K14" s="238"/>
      <c r="L14" s="238"/>
      <c r="M14" s="238"/>
      <c r="N14" s="238"/>
      <c r="O14" s="54"/>
    </row>
    <row r="15" spans="2:15" s="52" customFormat="1" ht="17" customHeight="1" x14ac:dyDescent="0.2">
      <c r="B15" s="54" t="s">
        <v>28</v>
      </c>
      <c r="C15" s="78"/>
      <c r="D15" s="78">
        <f>SQRT((D$13^2)*E15)</f>
        <v>0.40925483117857031</v>
      </c>
      <c r="E15" s="119">
        <f>VALUE(disc7.17!B7)</f>
        <v>0.63470000000000004</v>
      </c>
      <c r="G15" s="78">
        <f>SQRT((G$13^2)*H15)</f>
        <v>5.5307155043448041E-2</v>
      </c>
      <c r="H15" s="119">
        <f>VALUE(disc7.17!C7)</f>
        <v>0.3231</v>
      </c>
      <c r="J15" s="78">
        <f>SQRT((J$13^2)*K15)</f>
        <v>0.55859968464008292</v>
      </c>
      <c r="K15" s="119">
        <f>VALUE(disc7.17!D7)</f>
        <v>0.67800000000000005</v>
      </c>
      <c r="M15" s="78">
        <f>SQRT((M$13^2)*N15)</f>
        <v>0.10116070131726054</v>
      </c>
      <c r="N15" s="119">
        <f>VALUE(disc7.17!E7)</f>
        <v>0.32190000000000002</v>
      </c>
      <c r="O15" s="79"/>
    </row>
    <row r="16" spans="2:15" s="52" customFormat="1" ht="17" customHeight="1" x14ac:dyDescent="0.2">
      <c r="B16" s="54" t="s">
        <v>31</v>
      </c>
      <c r="C16" s="78"/>
      <c r="D16" s="78">
        <f>SQRT((D$13^2)*E16)</f>
        <v>0.21161696763964843</v>
      </c>
      <c r="E16" s="119">
        <f>VALUE(disc7.17!B8)</f>
        <v>0.16969999999999999</v>
      </c>
      <c r="G16" s="78">
        <f>SQRT((G$13^2)*H16)</f>
        <v>5.9057172604180773E-2</v>
      </c>
      <c r="H16" s="119">
        <f>VALUE(disc7.17!C8)</f>
        <v>0.36840000000000001</v>
      </c>
      <c r="J16" s="78">
        <f>SQRT((J$13^2)*K16)</f>
        <v>0.22273846360249502</v>
      </c>
      <c r="K16" s="119">
        <f>VALUE(disc7.17!D8)</f>
        <v>0.10780000000000001</v>
      </c>
      <c r="M16" s="78">
        <f>SQRT((M$13^2)*N16)</f>
        <v>8.7494264452019938E-2</v>
      </c>
      <c r="N16" s="119">
        <f>VALUE(disc7.17!E8)</f>
        <v>0.24079999999999999</v>
      </c>
      <c r="O16" s="79"/>
    </row>
    <row r="17" spans="2:15" s="52" customFormat="1" ht="17" customHeight="1" x14ac:dyDescent="0.2">
      <c r="B17" s="54" t="s">
        <v>175</v>
      </c>
      <c r="C17" s="78"/>
      <c r="D17" s="78">
        <f>SQRT((D$13^2)*E17)</f>
        <v>0.12708236159278755</v>
      </c>
      <c r="E17" s="119">
        <f>VALUE(disc7.17!B9)</f>
        <v>6.1199999999999997E-2</v>
      </c>
      <c r="G17" s="78">
        <f>SQRT((G$13^2)*H17)</f>
        <v>7.299445740602502E-3</v>
      </c>
      <c r="H17" s="119">
        <f>VALUE(disc7.17!C9)</f>
        <v>5.6280000000000002E-3</v>
      </c>
      <c r="J17" s="78">
        <f>SQRT((J$13^2)*K17)</f>
        <v>0.1299450364053972</v>
      </c>
      <c r="K17" s="119">
        <f>VALUE(disc7.17!D9)</f>
        <v>3.669E-2</v>
      </c>
      <c r="M17" s="78">
        <f>SQRT((M$13^2)*N17)</f>
        <v>5.2500192028220238E-3</v>
      </c>
      <c r="N17" s="119">
        <f>VALUE(disc7.17!E9)</f>
        <v>8.6700000000000004E-4</v>
      </c>
      <c r="O17" s="79"/>
    </row>
    <row r="18" spans="2:15" s="52" customFormat="1" ht="17" customHeight="1" x14ac:dyDescent="0.2">
      <c r="B18" s="54" t="s">
        <v>29</v>
      </c>
      <c r="C18" s="78"/>
      <c r="D18" s="78">
        <f>SQRT((D$13^2)*E18)</f>
        <v>0.19214028164598909</v>
      </c>
      <c r="E18" s="119">
        <f>VALUE(disc7.17!B10)</f>
        <v>0.1399</v>
      </c>
      <c r="G18" s="78">
        <f>SQRT((G$13^2)*H18)</f>
        <v>5.4174347250336111E-4</v>
      </c>
      <c r="H18" s="119">
        <f>VALUE(disc7.17!C10)</f>
        <v>3.1000000000000001E-5</v>
      </c>
      <c r="J18" s="78">
        <f>SQRT((J$13^2)*K18)</f>
        <v>0.24431820405364804</v>
      </c>
      <c r="K18" s="119">
        <f>VALUE(disc7.17!D10)</f>
        <v>0.12970000000000001</v>
      </c>
      <c r="M18" s="78">
        <f>SQRT((M$13^2)*N18)</f>
        <v>4.367440211382406E-4</v>
      </c>
      <c r="N18" s="119">
        <f>VALUE(disc7.17!E10)</f>
        <v>6.0000000000000002E-6</v>
      </c>
      <c r="O18" s="79"/>
    </row>
    <row r="19" spans="2:15" s="52" customFormat="1" ht="25.25" customHeight="1" x14ac:dyDescent="0.2">
      <c r="B19" s="238" t="s">
        <v>30</v>
      </c>
      <c r="C19" s="238"/>
      <c r="D19" s="238"/>
      <c r="E19" s="238"/>
      <c r="F19" s="238"/>
      <c r="G19" s="238"/>
      <c r="H19" s="238"/>
      <c r="I19" s="238"/>
      <c r="J19" s="238"/>
      <c r="K19" s="238"/>
      <c r="L19" s="238"/>
      <c r="M19" s="238"/>
      <c r="N19" s="238"/>
    </row>
    <row r="20" spans="2:15" s="52" customFormat="1" ht="17" customHeight="1" x14ac:dyDescent="0.2">
      <c r="B20" s="54" t="s">
        <v>32</v>
      </c>
      <c r="C20" s="78"/>
      <c r="D20" s="78">
        <f>(E20*(D13^2)/2)/(D15*D16)</f>
        <v>0.11173410115059446</v>
      </c>
      <c r="E20" s="119">
        <f>VALUE(disc7.17!B11)</f>
        <v>7.3340000000000002E-2</v>
      </c>
      <c r="G20" s="78">
        <f>(H20*(G13^2)/2)/(G15*G16)</f>
        <v>0.43274446120984428</v>
      </c>
      <c r="H20" s="119">
        <f>VALUE(disc7.17!C11)</f>
        <v>0.29859999999999998</v>
      </c>
      <c r="J20" s="78">
        <f>(K20*(J13^2)/2)/(J15*J16)</f>
        <v>0.16654419286862224</v>
      </c>
      <c r="K20" s="119">
        <f>VALUE(disc7.17!D11)</f>
        <v>9.0050000000000005E-2</v>
      </c>
      <c r="M20" s="78">
        <f>(N20*(M13^2)/2)/(M15*M16)</f>
        <v>0.7530193515424195</v>
      </c>
      <c r="N20" s="119">
        <f>VALUE(disc7.17!E11)</f>
        <v>0.41930000000000001</v>
      </c>
      <c r="O20" s="78"/>
    </row>
    <row r="21" spans="2:15" s="52" customFormat="1" ht="17" customHeight="1" x14ac:dyDescent="0.2">
      <c r="B21" s="54" t="s">
        <v>33</v>
      </c>
      <c r="C21" s="78"/>
      <c r="D21" s="78">
        <f>(E21*(D13^2)/2)/(D15*D17)</f>
        <v>-0.17662170100882549</v>
      </c>
      <c r="E21" s="119">
        <f>VALUE(disc7.17!B12)</f>
        <v>-6.9620000000000001E-2</v>
      </c>
      <c r="G21" s="78">
        <f>(H21*(G13^2)/2)/(G15*G17)</f>
        <v>-0.24705236549166237</v>
      </c>
      <c r="H21" s="119">
        <f>VALUE(disc7.17!C12)</f>
        <v>-2.1069999999999998E-2</v>
      </c>
      <c r="J21" s="78">
        <f>(K21*(J13^2)/2)/(J15*J17)</f>
        <v>-0.13913836072799615</v>
      </c>
      <c r="K21" s="119">
        <f>VALUE(disc7.17!D12)</f>
        <v>-4.3889999999999998E-2</v>
      </c>
      <c r="M21" s="78">
        <f>(N21*(M13^2)/2)/(M15*M17)</f>
        <v>0.31755236472347836</v>
      </c>
      <c r="N21" s="119">
        <f>VALUE(disc7.17!E12)</f>
        <v>1.061E-2</v>
      </c>
      <c r="O21" s="78"/>
    </row>
    <row r="22" spans="2:15" s="52" customFormat="1" ht="17" customHeight="1" x14ac:dyDescent="0.2">
      <c r="B22" s="53" t="s">
        <v>34</v>
      </c>
      <c r="C22" s="80"/>
      <c r="D22" s="80">
        <f>(E22*(D13^2)/2)/(D16*D17)</f>
        <v>-1.7397710640777615E-2</v>
      </c>
      <c r="E22" s="120">
        <f>VALUE(disc7.17!B14)</f>
        <v>-3.5460000000000001E-3</v>
      </c>
      <c r="F22" s="81"/>
      <c r="G22" s="80">
        <f>(H22*(G13^2)/2)/(G16*G17)</f>
        <v>0.22598443088535253</v>
      </c>
      <c r="H22" s="120">
        <f>VALUE(disc7.17!C14)</f>
        <v>2.0580000000000001E-2</v>
      </c>
      <c r="I22" s="81"/>
      <c r="J22" s="80">
        <f>(K22*(J13^2)/2)/(J16*J17)</f>
        <v>1.5439598183453777E-2</v>
      </c>
      <c r="K22" s="120">
        <f>VALUE(disc7.17!D14)</f>
        <v>1.9419999999999999E-3</v>
      </c>
      <c r="L22" s="81"/>
      <c r="M22" s="80">
        <f>(N22*(M13^2)/2)/(M16*M17)</f>
        <v>0.25545020477816588</v>
      </c>
      <c r="N22" s="120">
        <f>VALUE(disc7.17!E14)</f>
        <v>7.3819999999999997E-3</v>
      </c>
      <c r="O22" s="78"/>
    </row>
    <row r="23" spans="2:15" s="52" customFormat="1" ht="19.5" customHeight="1" x14ac:dyDescent="0.2">
      <c r="B23" s="54"/>
      <c r="C23" s="78"/>
      <c r="D23" s="78"/>
      <c r="G23" s="78"/>
      <c r="H23" s="78"/>
      <c r="I23" s="55"/>
      <c r="M23" s="79"/>
      <c r="N23" s="79"/>
      <c r="O23" s="79"/>
    </row>
    <row r="24" spans="2:15" s="52" customFormat="1" ht="17" customHeight="1" x14ac:dyDescent="0.2">
      <c r="B24" s="237" t="s">
        <v>98</v>
      </c>
      <c r="C24" s="237"/>
      <c r="D24" s="237"/>
      <c r="E24" s="237"/>
      <c r="F24" s="237"/>
      <c r="G24" s="237"/>
      <c r="H24" s="237"/>
      <c r="I24" s="237"/>
      <c r="J24" s="237"/>
      <c r="K24" s="237"/>
      <c r="L24" s="237"/>
      <c r="M24" s="237"/>
      <c r="N24" s="237"/>
    </row>
    <row r="25" spans="2:15" ht="17" customHeight="1" x14ac:dyDescent="0.2">
      <c r="B25" s="237"/>
      <c r="C25" s="237"/>
      <c r="D25" s="237"/>
      <c r="E25" s="237"/>
      <c r="F25" s="237"/>
      <c r="G25" s="237"/>
      <c r="H25" s="237"/>
      <c r="I25" s="237"/>
      <c r="J25" s="237"/>
      <c r="K25" s="237"/>
      <c r="L25" s="237"/>
      <c r="M25" s="237"/>
      <c r="N25" s="237"/>
    </row>
    <row r="26" spans="2:15" ht="17" customHeight="1" x14ac:dyDescent="0.2">
      <c r="B26" s="237"/>
      <c r="C26" s="237"/>
      <c r="D26" s="237"/>
      <c r="E26" s="237"/>
      <c r="F26" s="237"/>
      <c r="G26" s="237"/>
      <c r="H26" s="237"/>
      <c r="I26" s="237"/>
      <c r="J26" s="237"/>
      <c r="K26" s="237"/>
      <c r="L26" s="237"/>
      <c r="M26" s="237"/>
      <c r="N26" s="237"/>
    </row>
    <row r="27" spans="2:15" ht="17" customHeight="1" x14ac:dyDescent="0.2">
      <c r="B27" s="237"/>
      <c r="C27" s="237"/>
      <c r="D27" s="237"/>
      <c r="E27" s="237"/>
      <c r="F27" s="237"/>
      <c r="G27" s="237"/>
      <c r="H27" s="237"/>
      <c r="I27" s="237"/>
      <c r="J27" s="237"/>
      <c r="K27" s="237"/>
      <c r="L27" s="237"/>
      <c r="M27" s="237"/>
      <c r="N27" s="237"/>
    </row>
    <row r="28" spans="2:15" x14ac:dyDescent="0.2">
      <c r="B28" s="237"/>
      <c r="C28" s="237"/>
      <c r="D28" s="237"/>
      <c r="E28" s="237"/>
      <c r="F28" s="237"/>
      <c r="G28" s="237"/>
      <c r="H28" s="237"/>
      <c r="I28" s="237"/>
      <c r="J28" s="237"/>
      <c r="K28" s="237"/>
      <c r="L28" s="237"/>
      <c r="M28" s="237"/>
      <c r="N28" s="237"/>
    </row>
  </sheetData>
  <mergeCells count="11">
    <mergeCell ref="B19:N19"/>
    <mergeCell ref="B24:N28"/>
    <mergeCell ref="C8:E8"/>
    <mergeCell ref="G8:H8"/>
    <mergeCell ref="D10:E10"/>
    <mergeCell ref="G10:H10"/>
    <mergeCell ref="D9:H9"/>
    <mergeCell ref="J9:N9"/>
    <mergeCell ref="J10:K10"/>
    <mergeCell ref="M10:N10"/>
    <mergeCell ref="B14:N14"/>
  </mergeCells>
  <pageMargins left="0.7" right="0.7" top="0.75" bottom="0.75" header="0.3" footer="0.3"/>
  <pageSetup orientation="landscape"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5" tint="0.59996337778862885"/>
  </sheetPr>
  <dimension ref="B6:I38"/>
  <sheetViews>
    <sheetView workbookViewId="0">
      <selection activeCell="E25" sqref="E25"/>
    </sheetView>
  </sheetViews>
  <sheetFormatPr baseColWidth="10" defaultColWidth="8.83203125" defaultRowHeight="16" x14ac:dyDescent="0.2"/>
  <cols>
    <col min="1" max="1" width="8.83203125" style="29"/>
    <col min="2" max="2" width="2.6640625" style="29" customWidth="1"/>
    <col min="3" max="3" width="38.1640625" style="29" customWidth="1"/>
    <col min="4" max="4" width="12.33203125" style="29" customWidth="1"/>
    <col min="5" max="5" width="8.83203125" style="29" customWidth="1"/>
    <col min="6" max="8" width="8.83203125" style="29"/>
    <col min="9" max="9" width="19.33203125" style="29" bestFit="1" customWidth="1"/>
    <col min="10" max="16384" width="8.83203125" style="29"/>
  </cols>
  <sheetData>
    <row r="6" spans="2:5" ht="36" customHeight="1" x14ac:dyDescent="0.2">
      <c r="B6" s="242" t="s">
        <v>220</v>
      </c>
      <c r="C6" s="217"/>
      <c r="D6" s="217"/>
      <c r="E6" s="217"/>
    </row>
    <row r="7" spans="2:5" ht="9" customHeight="1" x14ac:dyDescent="0.2">
      <c r="B7" s="44"/>
      <c r="C7" s="44"/>
      <c r="D7" s="63"/>
      <c r="E7" s="63"/>
    </row>
    <row r="8" spans="2:5" ht="34" customHeight="1" x14ac:dyDescent="0.2">
      <c r="B8" s="106"/>
      <c r="C8" s="106"/>
      <c r="D8" s="218" t="s">
        <v>70</v>
      </c>
      <c r="E8" s="218"/>
    </row>
    <row r="9" spans="2:5" ht="34.5" customHeight="1" x14ac:dyDescent="0.2">
      <c r="B9" s="106"/>
      <c r="C9" s="106"/>
      <c r="D9" s="42" t="s">
        <v>20</v>
      </c>
      <c r="E9" s="42" t="s">
        <v>21</v>
      </c>
    </row>
    <row r="10" spans="2:5" ht="17" x14ac:dyDescent="0.2">
      <c r="B10" s="63"/>
      <c r="C10" s="63"/>
      <c r="D10" s="64" t="s">
        <v>22</v>
      </c>
      <c r="E10" s="64" t="s">
        <v>23</v>
      </c>
    </row>
    <row r="11" spans="2:5" ht="16" customHeight="1" x14ac:dyDescent="0.2">
      <c r="B11" s="243" t="s">
        <v>71</v>
      </c>
      <c r="C11" s="243"/>
      <c r="D11" s="113">
        <f>VALUE(disc7.15!B5)</f>
        <v>0.1067</v>
      </c>
      <c r="E11" s="121">
        <v>1</v>
      </c>
    </row>
    <row r="12" spans="2:5" ht="16" customHeight="1" x14ac:dyDescent="0.2">
      <c r="B12" s="127" t="s">
        <v>191</v>
      </c>
      <c r="C12" s="127"/>
      <c r="E12" s="122"/>
    </row>
    <row r="13" spans="2:5" ht="16" customHeight="1" x14ac:dyDescent="0.2">
      <c r="B13" s="196" t="s">
        <v>72</v>
      </c>
      <c r="C13" s="196"/>
      <c r="D13" s="113">
        <f>SQRT((D$11^2)*E13)</f>
        <v>7.431561167749344E-2</v>
      </c>
      <c r="E13" s="122">
        <f>VALUE(disc7.15!B7)</f>
        <v>0.48509999999999998</v>
      </c>
    </row>
    <row r="14" spans="2:5" ht="16" customHeight="1" x14ac:dyDescent="0.2">
      <c r="B14" s="196" t="s">
        <v>73</v>
      </c>
      <c r="C14" s="196"/>
      <c r="D14" s="113">
        <f>SQRT((D$11^2)*E14)</f>
        <v>5.8403022558768305E-3</v>
      </c>
      <c r="E14" s="122">
        <f>VALUE(disc7.15!B10)</f>
        <v>2.996E-3</v>
      </c>
    </row>
    <row r="15" spans="2:5" ht="16" customHeight="1" x14ac:dyDescent="0.2">
      <c r="B15" s="196" t="s">
        <v>74</v>
      </c>
      <c r="C15" s="196"/>
      <c r="D15" s="113">
        <f>SQRT((D$11^2)*E15)</f>
        <v>3.8333524977361526E-2</v>
      </c>
      <c r="E15" s="122">
        <f>VALUE(disc7.15!N6)</f>
        <v>0.12907099999999999</v>
      </c>
    </row>
    <row r="16" spans="2:5" ht="16" customHeight="1" x14ac:dyDescent="0.2">
      <c r="B16" s="105"/>
      <c r="C16" s="105" t="s">
        <v>190</v>
      </c>
    </row>
    <row r="17" spans="2:5" ht="16" customHeight="1" x14ac:dyDescent="0.2">
      <c r="C17" s="29" t="s">
        <v>62</v>
      </c>
      <c r="D17" s="113">
        <f>SQRT((D$11^2)*E17)</f>
        <v>1.3883306079605104E-2</v>
      </c>
      <c r="E17" s="122">
        <f>VALUE(disc7.15!B6)</f>
        <v>1.6930000000000001E-2</v>
      </c>
    </row>
    <row r="18" spans="2:5" ht="16" customHeight="1" x14ac:dyDescent="0.2">
      <c r="C18" s="29" t="s">
        <v>64</v>
      </c>
      <c r="D18" s="113">
        <f>SQRT((D$11^2)*E18)</f>
        <v>2.7515362708857755E-2</v>
      </c>
      <c r="E18" s="122">
        <f>VALUE(disc7.15!B8)</f>
        <v>6.6500000000000004E-2</v>
      </c>
    </row>
    <row r="19" spans="2:5" ht="16" customHeight="1" x14ac:dyDescent="0.2">
      <c r="C19" s="29" t="s">
        <v>65</v>
      </c>
      <c r="D19" s="113">
        <f>SQRT((D$11^2)*E19)</f>
        <v>2.0854323244833433E-3</v>
      </c>
      <c r="E19" s="122">
        <f>VALUE(disc7.15!B9)</f>
        <v>3.8200000000000002E-4</v>
      </c>
    </row>
    <row r="20" spans="2:5" ht="16" customHeight="1" x14ac:dyDescent="0.2">
      <c r="B20" s="105"/>
      <c r="C20" s="105"/>
      <c r="D20" s="113"/>
      <c r="E20" s="122"/>
    </row>
    <row r="21" spans="2:5" ht="16" customHeight="1" x14ac:dyDescent="0.2">
      <c r="B21" s="124" t="s">
        <v>126</v>
      </c>
      <c r="C21" s="124"/>
      <c r="E21" s="123"/>
    </row>
    <row r="22" spans="2:5" ht="16" customHeight="1" x14ac:dyDescent="0.2">
      <c r="B22" s="29" t="s">
        <v>75</v>
      </c>
      <c r="D22" s="113">
        <f>E22/(2*SQRT(E13*E14))</f>
        <v>-0.25129217613811777</v>
      </c>
      <c r="E22" s="122">
        <f>VALUE(disc7.15!B17)</f>
        <v>-1.916E-2</v>
      </c>
    </row>
    <row r="23" spans="2:5" ht="16" customHeight="1" x14ac:dyDescent="0.2">
      <c r="B23" s="29" t="s">
        <v>189</v>
      </c>
      <c r="D23" s="113">
        <f>E23/(2*SQRT(E13*E15))</f>
        <v>0.83069575833924281</v>
      </c>
      <c r="E23" s="122">
        <f>E25+E26+E27</f>
        <v>0.41572099999999995</v>
      </c>
    </row>
    <row r="24" spans="2:5" ht="16" customHeight="1" x14ac:dyDescent="0.2">
      <c r="C24" s="105" t="s">
        <v>190</v>
      </c>
    </row>
    <row r="25" spans="2:5" ht="16" customHeight="1" x14ac:dyDescent="0.2">
      <c r="C25" s="155" t="s">
        <v>216</v>
      </c>
      <c r="D25" s="113">
        <f>E25/(2*SQRT(E13*E17))</f>
        <v>0.7845587753099823</v>
      </c>
      <c r="E25" s="122">
        <f>VALUE(disc7.15!B11)</f>
        <v>0.14219999999999999</v>
      </c>
    </row>
    <row r="26" spans="2:5" ht="16" customHeight="1" x14ac:dyDescent="0.2">
      <c r="C26" s="155" t="s">
        <v>217</v>
      </c>
      <c r="D26" s="113">
        <f>E26/(2*SQRT(E13*E18))</f>
        <v>0.78504156694578242</v>
      </c>
      <c r="E26" s="122">
        <f>VALUE(disc7.15!B15)</f>
        <v>0.28199999999999997</v>
      </c>
    </row>
    <row r="27" spans="2:5" ht="16" customHeight="1" x14ac:dyDescent="0.2">
      <c r="C27" s="29" t="s">
        <v>76</v>
      </c>
      <c r="D27" s="113">
        <f>E27/(2*SQRT(E13*E19))</f>
        <v>-0.31143493011076873</v>
      </c>
      <c r="E27" s="122">
        <f>VALUE(disc7.15!B16)</f>
        <v>-8.4790000000000004E-3</v>
      </c>
    </row>
    <row r="28" spans="2:5" ht="16" customHeight="1" x14ac:dyDescent="0.2">
      <c r="B28" s="30" t="s">
        <v>77</v>
      </c>
      <c r="C28" s="30"/>
      <c r="D28" s="125" t="s">
        <v>45</v>
      </c>
      <c r="E28" s="126">
        <f>VALUE(disc7.15!B12)+VALUE(disc7.15!B13)+VALUE(disc7.15!B14)+VALUE(disc7.15!B18)+VALUE(disc7.15!B19)+VALUE(disc7.15!B20)</f>
        <v>3.1580000000000004E-2</v>
      </c>
    </row>
    <row r="29" spans="2:5" x14ac:dyDescent="0.2">
      <c r="B29" s="105"/>
      <c r="C29" s="105"/>
      <c r="D29" s="114"/>
      <c r="E29" s="32"/>
    </row>
    <row r="30" spans="2:5" ht="59" customHeight="1" x14ac:dyDescent="0.2">
      <c r="B30" s="202" t="s">
        <v>202</v>
      </c>
      <c r="C30" s="202"/>
      <c r="D30" s="202"/>
      <c r="E30" s="202"/>
    </row>
    <row r="31" spans="2:5" ht="13" customHeight="1" x14ac:dyDescent="0.2">
      <c r="B31" s="131"/>
      <c r="C31" s="131"/>
      <c r="D31" s="131"/>
      <c r="E31" s="131"/>
    </row>
    <row r="32" spans="2:5" ht="17" customHeight="1" x14ac:dyDescent="0.2">
      <c r="B32" s="131"/>
      <c r="C32" s="131"/>
      <c r="D32" s="131"/>
      <c r="E32" s="131"/>
    </row>
    <row r="33" spans="2:9" x14ac:dyDescent="0.2">
      <c r="B33" s="131"/>
      <c r="C33" s="131"/>
      <c r="D33" s="131"/>
      <c r="E33" s="131"/>
    </row>
    <row r="38" spans="2:9" ht="17" customHeight="1" x14ac:dyDescent="0.2">
      <c r="C38" s="43"/>
      <c r="D38" s="43"/>
      <c r="E38" s="43"/>
      <c r="F38" s="43"/>
      <c r="G38" s="43"/>
      <c r="H38" s="43"/>
      <c r="I38" s="43"/>
    </row>
  </sheetData>
  <mergeCells count="7">
    <mergeCell ref="B30:E30"/>
    <mergeCell ref="B6:E6"/>
    <mergeCell ref="D8:E8"/>
    <mergeCell ref="B11:C11"/>
    <mergeCell ref="B13:C13"/>
    <mergeCell ref="B14:C14"/>
    <mergeCell ref="B15:C15"/>
  </mergeCells>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tint="0.59999389629810485"/>
    <pageSetUpPr fitToPage="1"/>
  </sheetPr>
  <dimension ref="C2:G19"/>
  <sheetViews>
    <sheetView workbookViewId="0">
      <selection activeCell="M44" sqref="M44"/>
    </sheetView>
  </sheetViews>
  <sheetFormatPr baseColWidth="10" defaultColWidth="8.83203125" defaultRowHeight="15" x14ac:dyDescent="0.2"/>
  <cols>
    <col min="4" max="4" width="12.1640625" customWidth="1"/>
    <col min="5" max="5" width="17.83203125" customWidth="1"/>
    <col min="6" max="6" width="0.83203125" customWidth="1"/>
    <col min="7" max="7" width="18.83203125" customWidth="1"/>
  </cols>
  <sheetData>
    <row r="2" spans="3:7" ht="34" customHeight="1" x14ac:dyDescent="0.2">
      <c r="C2" s="244" t="s">
        <v>218</v>
      </c>
      <c r="D2" s="192"/>
      <c r="E2" s="192"/>
      <c r="F2" s="192"/>
      <c r="G2" s="192"/>
    </row>
    <row r="3" spans="3:7" ht="16" x14ac:dyDescent="0.2">
      <c r="C3" s="29"/>
      <c r="D3" s="29"/>
      <c r="E3" s="29"/>
      <c r="F3" s="29"/>
      <c r="G3" s="29"/>
    </row>
    <row r="4" spans="3:7" ht="20.25" customHeight="1" x14ac:dyDescent="0.2">
      <c r="C4" s="117"/>
      <c r="D4" s="117"/>
      <c r="E4" s="177" t="s">
        <v>197</v>
      </c>
      <c r="F4" s="117"/>
      <c r="G4" s="177" t="s">
        <v>196</v>
      </c>
    </row>
    <row r="5" spans="3:7" ht="16" x14ac:dyDescent="0.2">
      <c r="C5" s="30"/>
      <c r="D5" s="30"/>
      <c r="E5" s="128" t="s">
        <v>22</v>
      </c>
      <c r="F5" s="46"/>
      <c r="G5" s="128" t="s">
        <v>23</v>
      </c>
    </row>
    <row r="6" spans="3:7" ht="16" x14ac:dyDescent="0.2">
      <c r="C6" s="29"/>
      <c r="D6" s="29"/>
      <c r="E6" s="29"/>
      <c r="F6" s="29"/>
      <c r="G6" s="29"/>
    </row>
    <row r="7" spans="3:7" ht="16" x14ac:dyDescent="0.2">
      <c r="C7" s="129" t="s">
        <v>195</v>
      </c>
      <c r="D7" s="29"/>
      <c r="E7" s="29"/>
      <c r="F7" s="29"/>
      <c r="G7" s="29"/>
    </row>
    <row r="8" spans="3:7" ht="16.25" customHeight="1" x14ac:dyDescent="0.2">
      <c r="C8" s="29" t="s">
        <v>193</v>
      </c>
      <c r="D8" s="29"/>
      <c r="E8" s="266">
        <f>apptab7!B5</f>
        <v>0.25359999999999999</v>
      </c>
      <c r="F8" s="266"/>
      <c r="G8" s="266">
        <f>apptab7!C5</f>
        <v>0.36710999999999999</v>
      </c>
    </row>
    <row r="9" spans="3:7" ht="16" x14ac:dyDescent="0.2">
      <c r="C9" s="29"/>
      <c r="D9" s="29"/>
      <c r="E9" s="267">
        <f>apptab7!B6</f>
        <v>2.358E-2</v>
      </c>
      <c r="F9" s="268"/>
      <c r="G9" s="267">
        <f>apptab7!C6</f>
        <v>4.9880000000000001E-2</v>
      </c>
    </row>
    <row r="10" spans="3:7" ht="22.5" customHeight="1" x14ac:dyDescent="0.2">
      <c r="C10" s="29" t="s">
        <v>192</v>
      </c>
      <c r="D10" s="29"/>
      <c r="E10" s="266">
        <f>apptab7!D5</f>
        <v>0.22667000000000001</v>
      </c>
      <c r="F10" s="266"/>
      <c r="G10" s="266">
        <f>apptab7!E5</f>
        <v>0.41399999999999998</v>
      </c>
    </row>
    <row r="11" spans="3:7" ht="16" x14ac:dyDescent="0.2">
      <c r="C11" s="29"/>
      <c r="D11" s="29"/>
      <c r="E11" s="267">
        <f>apptab7!D6</f>
        <v>3.1480000000000001E-2</v>
      </c>
      <c r="F11" s="269"/>
      <c r="G11" s="267">
        <f>apptab7!E6</f>
        <v>5.9450000000000003E-2</v>
      </c>
    </row>
    <row r="12" spans="3:7" ht="16" x14ac:dyDescent="0.2">
      <c r="C12" s="29"/>
      <c r="D12" s="29"/>
      <c r="E12" s="251"/>
      <c r="F12" s="270"/>
      <c r="G12" s="251"/>
    </row>
    <row r="13" spans="3:7" ht="16" x14ac:dyDescent="0.2">
      <c r="C13" s="129" t="s">
        <v>194</v>
      </c>
      <c r="D13" s="29"/>
      <c r="E13" s="251"/>
      <c r="F13" s="270"/>
      <c r="G13" s="251"/>
    </row>
    <row r="14" spans="3:7" ht="17.25" customHeight="1" x14ac:dyDescent="0.2">
      <c r="C14" s="29" t="s">
        <v>193</v>
      </c>
      <c r="D14" s="29"/>
      <c r="E14" s="266">
        <f>apptab7!F5</f>
        <v>0.17027999999999999</v>
      </c>
      <c r="F14" s="266"/>
      <c r="G14" s="266">
        <f>apptab7!G5</f>
        <v>0.18622</v>
      </c>
    </row>
    <row r="15" spans="3:7" ht="16" x14ac:dyDescent="0.2">
      <c r="C15" s="29"/>
      <c r="D15" s="29"/>
      <c r="E15" s="267">
        <f>apptab7!F6</f>
        <v>8.2000000000000007E-3</v>
      </c>
      <c r="F15" s="269"/>
      <c r="G15" s="267">
        <f>apptab7!G6</f>
        <v>2.1780000000000001E-2</v>
      </c>
    </row>
    <row r="16" spans="3:7" ht="22.5" customHeight="1" x14ac:dyDescent="0.2">
      <c r="C16" s="29" t="s">
        <v>192</v>
      </c>
      <c r="D16" s="29"/>
      <c r="E16" s="266">
        <f>apptab7!H5</f>
        <v>0.17812</v>
      </c>
      <c r="F16" s="266"/>
      <c r="G16" s="266">
        <f>apptab7!I5</f>
        <v>0.22259000000000001</v>
      </c>
    </row>
    <row r="17" spans="3:7" ht="16" x14ac:dyDescent="0.2">
      <c r="C17" s="30"/>
      <c r="D17" s="30"/>
      <c r="E17" s="271">
        <f>apptab7!H6</f>
        <v>9.6900000000000007E-3</v>
      </c>
      <c r="F17" s="272"/>
      <c r="G17" s="271">
        <f>apptab7!I6</f>
        <v>2.368E-2</v>
      </c>
    </row>
    <row r="18" spans="3:7" ht="16" x14ac:dyDescent="0.2">
      <c r="C18" s="29"/>
      <c r="D18" s="29"/>
      <c r="E18" s="36"/>
      <c r="F18" s="36"/>
      <c r="G18" s="36"/>
    </row>
    <row r="19" spans="3:7" ht="168" customHeight="1" x14ac:dyDescent="0.2">
      <c r="C19" s="229" t="s">
        <v>219</v>
      </c>
      <c r="D19" s="245"/>
      <c r="E19" s="245"/>
      <c r="F19" s="245"/>
      <c r="G19" s="245"/>
    </row>
  </sheetData>
  <mergeCells count="2">
    <mergeCell ref="C2:G2"/>
    <mergeCell ref="C19:G19"/>
  </mergeCells>
  <pageMargins left="0.7" right="0.7" top="0.75" bottom="0.75" header="0.3" footer="0.3"/>
  <pageSetup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0" tint="-0.34998626667073579"/>
  </sheetPr>
  <dimension ref="A1:F32"/>
  <sheetViews>
    <sheetView zoomScale="70" zoomScaleNormal="70" workbookViewId="0">
      <selection activeCell="D39" sqref="D39"/>
    </sheetView>
  </sheetViews>
  <sheetFormatPr baseColWidth="10" defaultColWidth="8.83203125" defaultRowHeight="15" x14ac:dyDescent="0.2"/>
  <cols>
    <col min="1" max="1" width="32" style="24" bestFit="1" customWidth="1"/>
    <col min="2" max="5" width="26.1640625" style="23" customWidth="1"/>
    <col min="6" max="6" width="26.1640625" style="24" customWidth="1"/>
    <col min="7" max="16384" width="8.83203125" style="24"/>
  </cols>
  <sheetData>
    <row r="1" spans="1:6" x14ac:dyDescent="0.2">
      <c r="A1" s="24" t="s">
        <v>249</v>
      </c>
      <c r="B1" s="23" t="s">
        <v>281</v>
      </c>
      <c r="C1" s="23" t="s">
        <v>313</v>
      </c>
      <c r="D1" s="23" t="s">
        <v>345</v>
      </c>
      <c r="E1" s="23" t="s">
        <v>377</v>
      </c>
      <c r="F1" s="24" t="s">
        <v>409</v>
      </c>
    </row>
    <row r="2" spans="1:6" x14ac:dyDescent="0.2">
      <c r="A2" s="24" t="s">
        <v>250</v>
      </c>
      <c r="B2" s="23" t="s">
        <v>282</v>
      </c>
      <c r="C2" s="23" t="s">
        <v>314</v>
      </c>
      <c r="D2" s="23" t="s">
        <v>346</v>
      </c>
      <c r="E2" s="23" t="s">
        <v>378</v>
      </c>
      <c r="F2" s="24" t="s">
        <v>410</v>
      </c>
    </row>
    <row r="3" spans="1:6" x14ac:dyDescent="0.2">
      <c r="A3" s="24" t="s">
        <v>251</v>
      </c>
      <c r="B3" s="23" t="s">
        <v>283</v>
      </c>
      <c r="C3" s="23" t="s">
        <v>315</v>
      </c>
      <c r="D3" s="23" t="s">
        <v>347</v>
      </c>
      <c r="E3" s="23" t="s">
        <v>379</v>
      </c>
      <c r="F3" s="24" t="s">
        <v>411</v>
      </c>
    </row>
    <row r="4" spans="1:6" x14ac:dyDescent="0.2">
      <c r="A4" s="24" t="s">
        <v>252</v>
      </c>
      <c r="B4" s="23" t="s">
        <v>284</v>
      </c>
      <c r="C4" s="23" t="s">
        <v>316</v>
      </c>
      <c r="D4" s="23" t="s">
        <v>348</v>
      </c>
      <c r="E4" s="23" t="s">
        <v>380</v>
      </c>
      <c r="F4" s="24" t="s">
        <v>412</v>
      </c>
    </row>
    <row r="5" spans="1:6" x14ac:dyDescent="0.2">
      <c r="A5" s="24" t="s">
        <v>253</v>
      </c>
      <c r="B5" s="23" t="s">
        <v>285</v>
      </c>
      <c r="C5" s="23" t="s">
        <v>317</v>
      </c>
      <c r="D5" s="23" t="s">
        <v>349</v>
      </c>
      <c r="E5" s="23" t="s">
        <v>381</v>
      </c>
      <c r="F5" s="24" t="s">
        <v>413</v>
      </c>
    </row>
    <row r="6" spans="1:6" x14ac:dyDescent="0.2">
      <c r="A6" s="24" t="s">
        <v>254</v>
      </c>
      <c r="B6" s="23" t="s">
        <v>286</v>
      </c>
      <c r="C6" s="23" t="s">
        <v>318</v>
      </c>
      <c r="D6" s="23" t="s">
        <v>350</v>
      </c>
      <c r="E6" s="23" t="s">
        <v>382</v>
      </c>
      <c r="F6" s="24" t="s">
        <v>414</v>
      </c>
    </row>
    <row r="7" spans="1:6" x14ac:dyDescent="0.2">
      <c r="A7" s="24" t="s">
        <v>255</v>
      </c>
      <c r="B7" s="23" t="s">
        <v>287</v>
      </c>
      <c r="C7" s="23" t="s">
        <v>319</v>
      </c>
      <c r="D7" s="23" t="s">
        <v>351</v>
      </c>
      <c r="E7" s="23" t="s">
        <v>383</v>
      </c>
      <c r="F7" s="24" t="s">
        <v>415</v>
      </c>
    </row>
    <row r="8" spans="1:6" x14ac:dyDescent="0.2">
      <c r="A8" s="24" t="s">
        <v>256</v>
      </c>
      <c r="B8" s="23" t="s">
        <v>288</v>
      </c>
      <c r="C8" s="23" t="s">
        <v>320</v>
      </c>
      <c r="D8" s="23" t="s">
        <v>352</v>
      </c>
      <c r="E8" s="23" t="s">
        <v>384</v>
      </c>
      <c r="F8" s="24" t="s">
        <v>416</v>
      </c>
    </row>
    <row r="9" spans="1:6" x14ac:dyDescent="0.2">
      <c r="A9" s="24" t="s">
        <v>257</v>
      </c>
      <c r="B9" s="23" t="s">
        <v>289</v>
      </c>
      <c r="C9" s="23" t="s">
        <v>321</v>
      </c>
      <c r="D9" s="23" t="s">
        <v>353</v>
      </c>
      <c r="E9" s="23" t="s">
        <v>385</v>
      </c>
      <c r="F9" s="24" t="s">
        <v>417</v>
      </c>
    </row>
    <row r="10" spans="1:6" x14ac:dyDescent="0.2">
      <c r="A10" s="24" t="s">
        <v>258</v>
      </c>
      <c r="B10" s="23" t="s">
        <v>290</v>
      </c>
      <c r="C10" s="23" t="s">
        <v>322</v>
      </c>
      <c r="D10" s="23" t="s">
        <v>354</v>
      </c>
      <c r="E10" s="23" t="s">
        <v>386</v>
      </c>
      <c r="F10" s="24" t="s">
        <v>418</v>
      </c>
    </row>
    <row r="11" spans="1:6" x14ac:dyDescent="0.2">
      <c r="A11" s="24" t="s">
        <v>259</v>
      </c>
      <c r="B11" s="23" t="s">
        <v>291</v>
      </c>
      <c r="C11" s="23" t="s">
        <v>323</v>
      </c>
      <c r="D11" s="23" t="s">
        <v>355</v>
      </c>
      <c r="E11" s="23" t="s">
        <v>387</v>
      </c>
      <c r="F11" s="24" t="s">
        <v>419</v>
      </c>
    </row>
    <row r="12" spans="1:6" x14ac:dyDescent="0.2">
      <c r="A12" s="24" t="s">
        <v>260</v>
      </c>
      <c r="B12" s="23" t="s">
        <v>292</v>
      </c>
      <c r="C12" s="23" t="s">
        <v>324</v>
      </c>
      <c r="D12" s="23" t="s">
        <v>356</v>
      </c>
      <c r="E12" s="23" t="s">
        <v>388</v>
      </c>
      <c r="F12" s="24" t="s">
        <v>420</v>
      </c>
    </row>
    <row r="13" spans="1:6" x14ac:dyDescent="0.2">
      <c r="A13" s="24" t="s">
        <v>261</v>
      </c>
      <c r="B13" s="23" t="s">
        <v>293</v>
      </c>
      <c r="C13" s="23" t="s">
        <v>325</v>
      </c>
      <c r="D13" s="23" t="s">
        <v>357</v>
      </c>
      <c r="E13" s="23" t="s">
        <v>389</v>
      </c>
      <c r="F13" s="24" t="s">
        <v>421</v>
      </c>
    </row>
    <row r="14" spans="1:6" x14ac:dyDescent="0.2">
      <c r="A14" s="24" t="s">
        <v>262</v>
      </c>
      <c r="B14" s="23" t="s">
        <v>294</v>
      </c>
      <c r="C14" s="23" t="s">
        <v>326</v>
      </c>
      <c r="D14" s="23" t="s">
        <v>358</v>
      </c>
      <c r="E14" s="23" t="s">
        <v>390</v>
      </c>
      <c r="F14" s="24" t="s">
        <v>422</v>
      </c>
    </row>
    <row r="15" spans="1:6" x14ac:dyDescent="0.2">
      <c r="A15" s="24" t="s">
        <v>263</v>
      </c>
      <c r="B15" s="23" t="s">
        <v>295</v>
      </c>
      <c r="C15" s="23" t="s">
        <v>327</v>
      </c>
      <c r="D15" s="23" t="s">
        <v>359</v>
      </c>
      <c r="E15" s="23" t="s">
        <v>391</v>
      </c>
      <c r="F15" s="24" t="s">
        <v>423</v>
      </c>
    </row>
    <row r="16" spans="1:6" x14ac:dyDescent="0.2">
      <c r="A16" s="24" t="s">
        <v>264</v>
      </c>
      <c r="B16" s="23" t="s">
        <v>296</v>
      </c>
      <c r="C16" s="23" t="s">
        <v>328</v>
      </c>
      <c r="D16" s="23" t="s">
        <v>360</v>
      </c>
      <c r="E16" s="23" t="s">
        <v>392</v>
      </c>
      <c r="F16" s="24" t="s">
        <v>424</v>
      </c>
    </row>
    <row r="17" spans="1:6" x14ac:dyDescent="0.2">
      <c r="A17" s="24" t="s">
        <v>265</v>
      </c>
      <c r="B17" s="23" t="s">
        <v>297</v>
      </c>
      <c r="C17" s="23" t="s">
        <v>329</v>
      </c>
      <c r="D17" s="23" t="s">
        <v>361</v>
      </c>
      <c r="E17" s="23" t="s">
        <v>393</v>
      </c>
      <c r="F17" s="24" t="s">
        <v>425</v>
      </c>
    </row>
    <row r="18" spans="1:6" x14ac:dyDescent="0.2">
      <c r="A18" s="24" t="s">
        <v>266</v>
      </c>
      <c r="B18" s="23" t="s">
        <v>298</v>
      </c>
      <c r="C18" s="23" t="s">
        <v>330</v>
      </c>
      <c r="D18" s="23" t="s">
        <v>362</v>
      </c>
      <c r="E18" s="23" t="s">
        <v>394</v>
      </c>
      <c r="F18" s="24" t="s">
        <v>426</v>
      </c>
    </row>
    <row r="19" spans="1:6" x14ac:dyDescent="0.2">
      <c r="A19" s="24" t="s">
        <v>267</v>
      </c>
      <c r="B19" s="23" t="s">
        <v>299</v>
      </c>
      <c r="C19" s="23" t="s">
        <v>331</v>
      </c>
      <c r="D19" s="23" t="s">
        <v>363</v>
      </c>
      <c r="E19" s="23" t="s">
        <v>395</v>
      </c>
      <c r="F19" s="24" t="s">
        <v>427</v>
      </c>
    </row>
    <row r="20" spans="1:6" x14ac:dyDescent="0.2">
      <c r="A20" s="24" t="s">
        <v>268</v>
      </c>
      <c r="B20" s="23" t="s">
        <v>300</v>
      </c>
      <c r="C20" s="23" t="s">
        <v>332</v>
      </c>
      <c r="D20" s="23" t="s">
        <v>364</v>
      </c>
      <c r="E20" s="23" t="s">
        <v>396</v>
      </c>
      <c r="F20" s="24" t="s">
        <v>428</v>
      </c>
    </row>
    <row r="21" spans="1:6" x14ac:dyDescent="0.2">
      <c r="A21" s="24" t="s">
        <v>269</v>
      </c>
      <c r="B21" s="23" t="s">
        <v>301</v>
      </c>
      <c r="C21" s="23" t="s">
        <v>333</v>
      </c>
      <c r="D21" s="23" t="s">
        <v>365</v>
      </c>
      <c r="E21" s="23" t="s">
        <v>397</v>
      </c>
      <c r="F21" s="24" t="s">
        <v>429</v>
      </c>
    </row>
    <row r="22" spans="1:6" x14ac:dyDescent="0.2">
      <c r="A22" s="24" t="s">
        <v>270</v>
      </c>
      <c r="B22" s="23" t="s">
        <v>302</v>
      </c>
      <c r="C22" s="23" t="s">
        <v>334</v>
      </c>
      <c r="D22" s="23" t="s">
        <v>366</v>
      </c>
      <c r="E22" s="23" t="s">
        <v>398</v>
      </c>
      <c r="F22" s="24" t="s">
        <v>430</v>
      </c>
    </row>
    <row r="23" spans="1:6" x14ac:dyDescent="0.2">
      <c r="A23" s="24" t="s">
        <v>271</v>
      </c>
      <c r="B23" s="23" t="s">
        <v>303</v>
      </c>
      <c r="C23" s="23" t="s">
        <v>335</v>
      </c>
      <c r="D23" s="23" t="s">
        <v>367</v>
      </c>
      <c r="E23" s="23" t="s">
        <v>399</v>
      </c>
      <c r="F23" s="24" t="s">
        <v>431</v>
      </c>
    </row>
    <row r="24" spans="1:6" x14ac:dyDescent="0.2">
      <c r="A24" s="24" t="s">
        <v>272</v>
      </c>
      <c r="B24" s="23" t="s">
        <v>304</v>
      </c>
      <c r="C24" s="23" t="s">
        <v>336</v>
      </c>
      <c r="D24" s="23" t="s">
        <v>368</v>
      </c>
      <c r="E24" s="23" t="s">
        <v>400</v>
      </c>
      <c r="F24" s="24" t="s">
        <v>432</v>
      </c>
    </row>
    <row r="25" spans="1:6" x14ac:dyDescent="0.2">
      <c r="A25" s="24" t="s">
        <v>273</v>
      </c>
      <c r="B25" s="23" t="s">
        <v>305</v>
      </c>
      <c r="C25" s="23" t="s">
        <v>337</v>
      </c>
      <c r="D25" s="23" t="s">
        <v>369</v>
      </c>
      <c r="E25" s="23" t="s">
        <v>401</v>
      </c>
      <c r="F25" s="24" t="s">
        <v>433</v>
      </c>
    </row>
    <row r="26" spans="1:6" x14ac:dyDescent="0.2">
      <c r="A26" s="24" t="s">
        <v>274</v>
      </c>
      <c r="B26" s="23" t="s">
        <v>306</v>
      </c>
      <c r="C26" s="23" t="s">
        <v>338</v>
      </c>
      <c r="D26" s="23" t="s">
        <v>370</v>
      </c>
      <c r="E26" s="23" t="s">
        <v>402</v>
      </c>
      <c r="F26" s="24" t="s">
        <v>434</v>
      </c>
    </row>
    <row r="27" spans="1:6" x14ac:dyDescent="0.2">
      <c r="A27" s="24" t="s">
        <v>275</v>
      </c>
      <c r="B27" s="23" t="s">
        <v>307</v>
      </c>
      <c r="C27" s="23" t="s">
        <v>339</v>
      </c>
      <c r="D27" s="23" t="s">
        <v>371</v>
      </c>
      <c r="E27" s="23" t="s">
        <v>403</v>
      </c>
      <c r="F27" s="24" t="s">
        <v>435</v>
      </c>
    </row>
    <row r="28" spans="1:6" x14ac:dyDescent="0.2">
      <c r="A28" s="24" t="s">
        <v>276</v>
      </c>
      <c r="B28" s="23" t="s">
        <v>308</v>
      </c>
      <c r="C28" s="23" t="s">
        <v>340</v>
      </c>
      <c r="D28" s="23" t="s">
        <v>372</v>
      </c>
      <c r="E28" s="23" t="s">
        <v>404</v>
      </c>
      <c r="F28" s="24" t="s">
        <v>436</v>
      </c>
    </row>
    <row r="29" spans="1:6" x14ac:dyDescent="0.2">
      <c r="A29" s="24" t="s">
        <v>277</v>
      </c>
      <c r="B29" s="23" t="s">
        <v>309</v>
      </c>
      <c r="C29" s="23" t="s">
        <v>341</v>
      </c>
      <c r="D29" s="23" t="s">
        <v>373</v>
      </c>
      <c r="E29" s="23" t="s">
        <v>405</v>
      </c>
      <c r="F29" s="24" t="s">
        <v>437</v>
      </c>
    </row>
    <row r="30" spans="1:6" x14ac:dyDescent="0.2">
      <c r="A30" s="24" t="s">
        <v>278</v>
      </c>
      <c r="B30" s="23" t="s">
        <v>310</v>
      </c>
      <c r="C30" s="23" t="s">
        <v>342</v>
      </c>
      <c r="D30" s="23" t="s">
        <v>374</v>
      </c>
      <c r="E30" s="23" t="s">
        <v>406</v>
      </c>
      <c r="F30" s="24" t="s">
        <v>438</v>
      </c>
    </row>
    <row r="31" spans="1:6" x14ac:dyDescent="0.2">
      <c r="A31" s="24" t="s">
        <v>279</v>
      </c>
      <c r="B31" s="23" t="s">
        <v>311</v>
      </c>
      <c r="C31" s="23" t="s">
        <v>343</v>
      </c>
      <c r="D31" s="23" t="s">
        <v>375</v>
      </c>
      <c r="E31" s="23" t="s">
        <v>407</v>
      </c>
      <c r="F31" s="24" t="s">
        <v>439</v>
      </c>
    </row>
    <row r="32" spans="1:6" x14ac:dyDescent="0.2">
      <c r="A32" s="24" t="s">
        <v>280</v>
      </c>
      <c r="B32" s="23" t="s">
        <v>312</v>
      </c>
      <c r="C32" s="23" t="s">
        <v>344</v>
      </c>
      <c r="D32" s="23" t="s">
        <v>376</v>
      </c>
      <c r="E32" s="23" t="s">
        <v>408</v>
      </c>
      <c r="F32" s="24" t="s">
        <v>440</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0" tint="-0.34998626667073579"/>
  </sheetPr>
  <dimension ref="A1:G28"/>
  <sheetViews>
    <sheetView zoomScale="85" zoomScaleNormal="85" workbookViewId="0"/>
  </sheetViews>
  <sheetFormatPr baseColWidth="10" defaultColWidth="9.1640625" defaultRowHeight="15" x14ac:dyDescent="0.2"/>
  <cols>
    <col min="1" max="1" width="41" style="26" customWidth="1"/>
    <col min="2" max="3" width="16.33203125" style="26" customWidth="1"/>
    <col min="4" max="16384" width="9.1640625" style="26"/>
  </cols>
  <sheetData>
    <row r="1" spans="1:7" x14ac:dyDescent="0.2">
      <c r="A1" s="26" t="s">
        <v>441</v>
      </c>
      <c r="B1" s="26" t="s">
        <v>469</v>
      </c>
      <c r="C1" s="26" t="s">
        <v>497</v>
      </c>
      <c r="D1" s="26" t="s">
        <v>525</v>
      </c>
      <c r="E1" s="26" t="s">
        <v>553</v>
      </c>
      <c r="F1" s="26" t="s">
        <v>581</v>
      </c>
      <c r="G1" s="26" t="s">
        <v>609</v>
      </c>
    </row>
    <row r="2" spans="1:7" x14ac:dyDescent="0.2">
      <c r="A2" s="26" t="s">
        <v>442</v>
      </c>
      <c r="B2" s="26" t="s">
        <v>470</v>
      </c>
      <c r="C2" s="26" t="s">
        <v>498</v>
      </c>
      <c r="D2" s="26" t="s">
        <v>526</v>
      </c>
      <c r="E2" s="26" t="s">
        <v>554</v>
      </c>
      <c r="F2" s="26" t="s">
        <v>582</v>
      </c>
      <c r="G2" s="26" t="s">
        <v>610</v>
      </c>
    </row>
    <row r="3" spans="1:7" x14ac:dyDescent="0.2">
      <c r="A3" s="26" t="s">
        <v>443</v>
      </c>
      <c r="B3" s="26" t="s">
        <v>471</v>
      </c>
      <c r="C3" s="26" t="s">
        <v>499</v>
      </c>
      <c r="D3" s="26" t="s">
        <v>527</v>
      </c>
      <c r="E3" s="26" t="s">
        <v>555</v>
      </c>
      <c r="F3" s="26" t="s">
        <v>583</v>
      </c>
      <c r="G3" s="26" t="s">
        <v>611</v>
      </c>
    </row>
    <row r="4" spans="1:7" x14ac:dyDescent="0.2">
      <c r="A4" s="26" t="s">
        <v>444</v>
      </c>
      <c r="B4" s="26" t="s">
        <v>472</v>
      </c>
      <c r="C4" s="26" t="s">
        <v>500</v>
      </c>
      <c r="D4" s="26" t="s">
        <v>528</v>
      </c>
      <c r="E4" s="26" t="s">
        <v>556</v>
      </c>
      <c r="F4" s="26" t="s">
        <v>584</v>
      </c>
      <c r="G4" s="26" t="s">
        <v>612</v>
      </c>
    </row>
    <row r="5" spans="1:7" x14ac:dyDescent="0.2">
      <c r="A5" s="26" t="s">
        <v>445</v>
      </c>
      <c r="B5" s="26" t="s">
        <v>473</v>
      </c>
      <c r="C5" s="26" t="s">
        <v>501</v>
      </c>
      <c r="D5" s="26" t="s">
        <v>529</v>
      </c>
      <c r="E5" s="26" t="s">
        <v>557</v>
      </c>
      <c r="F5" s="26" t="s">
        <v>585</v>
      </c>
      <c r="G5" s="26" t="s">
        <v>613</v>
      </c>
    </row>
    <row r="6" spans="1:7" x14ac:dyDescent="0.2">
      <c r="A6" s="26" t="s">
        <v>446</v>
      </c>
      <c r="B6" s="26" t="s">
        <v>474</v>
      </c>
      <c r="C6" s="26" t="s">
        <v>502</v>
      </c>
      <c r="D6" s="26" t="s">
        <v>530</v>
      </c>
      <c r="E6" s="26" t="s">
        <v>558</v>
      </c>
      <c r="F6" s="26" t="s">
        <v>586</v>
      </c>
      <c r="G6" s="26" t="s">
        <v>614</v>
      </c>
    </row>
    <row r="7" spans="1:7" x14ac:dyDescent="0.2">
      <c r="A7" s="26" t="s">
        <v>447</v>
      </c>
      <c r="B7" s="26" t="s">
        <v>475</v>
      </c>
      <c r="C7" s="26" t="s">
        <v>503</v>
      </c>
      <c r="D7" s="26" t="s">
        <v>531</v>
      </c>
      <c r="E7" s="26" t="s">
        <v>559</v>
      </c>
      <c r="F7" s="26" t="s">
        <v>587</v>
      </c>
      <c r="G7" s="26" t="s">
        <v>615</v>
      </c>
    </row>
    <row r="8" spans="1:7" x14ac:dyDescent="0.2">
      <c r="A8" s="26" t="s">
        <v>448</v>
      </c>
      <c r="B8" s="26" t="s">
        <v>476</v>
      </c>
      <c r="C8" s="26" t="s">
        <v>504</v>
      </c>
      <c r="D8" s="26" t="s">
        <v>532</v>
      </c>
      <c r="E8" s="26" t="s">
        <v>560</v>
      </c>
      <c r="F8" s="26" t="s">
        <v>588</v>
      </c>
      <c r="G8" s="26" t="s">
        <v>616</v>
      </c>
    </row>
    <row r="9" spans="1:7" x14ac:dyDescent="0.2">
      <c r="A9" s="26" t="s">
        <v>449</v>
      </c>
      <c r="B9" s="26" t="s">
        <v>477</v>
      </c>
      <c r="C9" s="26" t="s">
        <v>505</v>
      </c>
      <c r="D9" s="26" t="s">
        <v>533</v>
      </c>
      <c r="E9" s="26" t="s">
        <v>561</v>
      </c>
      <c r="F9" s="26" t="s">
        <v>589</v>
      </c>
      <c r="G9" s="26" t="s">
        <v>617</v>
      </c>
    </row>
    <row r="10" spans="1:7" x14ac:dyDescent="0.2">
      <c r="A10" s="26" t="s">
        <v>450</v>
      </c>
      <c r="B10" s="26" t="s">
        <v>478</v>
      </c>
      <c r="C10" s="26" t="s">
        <v>506</v>
      </c>
      <c r="D10" s="26" t="s">
        <v>534</v>
      </c>
      <c r="E10" s="26" t="s">
        <v>562</v>
      </c>
      <c r="F10" s="26" t="s">
        <v>590</v>
      </c>
      <c r="G10" s="26" t="s">
        <v>618</v>
      </c>
    </row>
    <row r="11" spans="1:7" x14ac:dyDescent="0.2">
      <c r="A11" s="26" t="s">
        <v>451</v>
      </c>
      <c r="B11" s="26" t="s">
        <v>479</v>
      </c>
      <c r="C11" s="26" t="s">
        <v>507</v>
      </c>
      <c r="D11" s="26" t="s">
        <v>535</v>
      </c>
      <c r="E11" s="26" t="s">
        <v>563</v>
      </c>
      <c r="F11" s="26" t="s">
        <v>591</v>
      </c>
      <c r="G11" s="26" t="s">
        <v>619</v>
      </c>
    </row>
    <row r="12" spans="1:7" x14ac:dyDescent="0.2">
      <c r="A12" s="26" t="s">
        <v>452</v>
      </c>
      <c r="B12" s="26" t="s">
        <v>480</v>
      </c>
      <c r="C12" s="26" t="s">
        <v>508</v>
      </c>
      <c r="D12" s="26" t="s">
        <v>536</v>
      </c>
      <c r="E12" s="26" t="s">
        <v>564</v>
      </c>
      <c r="F12" s="26" t="s">
        <v>592</v>
      </c>
      <c r="G12" s="26" t="s">
        <v>620</v>
      </c>
    </row>
    <row r="13" spans="1:7" x14ac:dyDescent="0.2">
      <c r="A13" s="26" t="s">
        <v>453</v>
      </c>
      <c r="B13" s="26" t="s">
        <v>481</v>
      </c>
      <c r="C13" s="26" t="s">
        <v>509</v>
      </c>
      <c r="D13" s="26" t="s">
        <v>537</v>
      </c>
      <c r="E13" s="26" t="s">
        <v>565</v>
      </c>
      <c r="F13" s="26" t="s">
        <v>593</v>
      </c>
      <c r="G13" s="26" t="s">
        <v>621</v>
      </c>
    </row>
    <row r="14" spans="1:7" x14ac:dyDescent="0.2">
      <c r="A14" s="26" t="s">
        <v>454</v>
      </c>
      <c r="B14" s="26" t="s">
        <v>482</v>
      </c>
      <c r="C14" s="26" t="s">
        <v>510</v>
      </c>
      <c r="D14" s="26" t="s">
        <v>538</v>
      </c>
      <c r="E14" s="26" t="s">
        <v>566</v>
      </c>
      <c r="F14" s="26" t="s">
        <v>594</v>
      </c>
      <c r="G14" s="26" t="s">
        <v>622</v>
      </c>
    </row>
    <row r="15" spans="1:7" x14ac:dyDescent="0.2">
      <c r="A15" s="26" t="s">
        <v>455</v>
      </c>
      <c r="B15" s="26" t="s">
        <v>483</v>
      </c>
      <c r="C15" s="26" t="s">
        <v>511</v>
      </c>
      <c r="D15" s="26" t="s">
        <v>539</v>
      </c>
      <c r="E15" s="26" t="s">
        <v>567</v>
      </c>
      <c r="F15" s="26" t="s">
        <v>595</v>
      </c>
      <c r="G15" s="26" t="s">
        <v>623</v>
      </c>
    </row>
    <row r="16" spans="1:7" x14ac:dyDescent="0.2">
      <c r="A16" s="26" t="s">
        <v>456</v>
      </c>
      <c r="B16" s="26" t="s">
        <v>484</v>
      </c>
      <c r="C16" s="26" t="s">
        <v>512</v>
      </c>
      <c r="D16" s="26" t="s">
        <v>540</v>
      </c>
      <c r="E16" s="26" t="s">
        <v>568</v>
      </c>
      <c r="F16" s="26" t="s">
        <v>596</v>
      </c>
      <c r="G16" s="26" t="s">
        <v>624</v>
      </c>
    </row>
    <row r="17" spans="1:7" x14ac:dyDescent="0.2">
      <c r="A17" s="26" t="s">
        <v>457</v>
      </c>
      <c r="B17" s="26" t="s">
        <v>485</v>
      </c>
      <c r="C17" s="26" t="s">
        <v>513</v>
      </c>
      <c r="D17" s="26" t="s">
        <v>541</v>
      </c>
      <c r="E17" s="26" t="s">
        <v>569</v>
      </c>
      <c r="F17" s="26" t="s">
        <v>597</v>
      </c>
      <c r="G17" s="26" t="s">
        <v>625</v>
      </c>
    </row>
    <row r="18" spans="1:7" x14ac:dyDescent="0.2">
      <c r="A18" s="26" t="s">
        <v>458</v>
      </c>
      <c r="B18" s="26" t="s">
        <v>486</v>
      </c>
      <c r="C18" s="26" t="s">
        <v>514</v>
      </c>
      <c r="D18" s="26" t="s">
        <v>542</v>
      </c>
      <c r="E18" s="26" t="s">
        <v>570</v>
      </c>
      <c r="F18" s="26" t="s">
        <v>598</v>
      </c>
      <c r="G18" s="26" t="s">
        <v>626</v>
      </c>
    </row>
    <row r="19" spans="1:7" x14ac:dyDescent="0.2">
      <c r="A19" s="26" t="s">
        <v>459</v>
      </c>
      <c r="B19" s="26" t="s">
        <v>487</v>
      </c>
      <c r="C19" s="26" t="s">
        <v>515</v>
      </c>
      <c r="D19" s="26" t="s">
        <v>543</v>
      </c>
      <c r="E19" s="26" t="s">
        <v>571</v>
      </c>
      <c r="F19" s="26" t="s">
        <v>599</v>
      </c>
      <c r="G19" s="26" t="s">
        <v>627</v>
      </c>
    </row>
    <row r="20" spans="1:7" x14ac:dyDescent="0.2">
      <c r="A20" s="26" t="s">
        <v>460</v>
      </c>
      <c r="B20" s="26" t="s">
        <v>488</v>
      </c>
      <c r="C20" s="26" t="s">
        <v>516</v>
      </c>
      <c r="D20" s="26" t="s">
        <v>544</v>
      </c>
      <c r="E20" s="26" t="s">
        <v>572</v>
      </c>
      <c r="F20" s="26" t="s">
        <v>600</v>
      </c>
      <c r="G20" s="26" t="s">
        <v>628</v>
      </c>
    </row>
    <row r="21" spans="1:7" x14ac:dyDescent="0.2">
      <c r="A21" s="26" t="s">
        <v>461</v>
      </c>
      <c r="B21" s="26" t="s">
        <v>489</v>
      </c>
      <c r="C21" s="26" t="s">
        <v>517</v>
      </c>
      <c r="D21" s="26" t="s">
        <v>545</v>
      </c>
      <c r="E21" s="26" t="s">
        <v>573</v>
      </c>
      <c r="F21" s="26" t="s">
        <v>601</v>
      </c>
      <c r="G21" s="26" t="s">
        <v>629</v>
      </c>
    </row>
    <row r="22" spans="1:7" x14ac:dyDescent="0.2">
      <c r="A22" s="26" t="s">
        <v>462</v>
      </c>
      <c r="B22" s="26" t="s">
        <v>490</v>
      </c>
      <c r="C22" s="26" t="s">
        <v>518</v>
      </c>
      <c r="D22" s="26" t="s">
        <v>546</v>
      </c>
      <c r="E22" s="26" t="s">
        <v>574</v>
      </c>
      <c r="F22" s="26" t="s">
        <v>602</v>
      </c>
      <c r="G22" s="26" t="s">
        <v>630</v>
      </c>
    </row>
    <row r="23" spans="1:7" x14ac:dyDescent="0.2">
      <c r="A23" s="26" t="s">
        <v>463</v>
      </c>
      <c r="B23" s="26" t="s">
        <v>491</v>
      </c>
      <c r="C23" s="26" t="s">
        <v>519</v>
      </c>
      <c r="D23" s="26" t="s">
        <v>547</v>
      </c>
      <c r="E23" s="26" t="s">
        <v>575</v>
      </c>
      <c r="F23" s="26" t="s">
        <v>603</v>
      </c>
      <c r="G23" s="26" t="s">
        <v>631</v>
      </c>
    </row>
    <row r="24" spans="1:7" x14ac:dyDescent="0.2">
      <c r="A24" s="26" t="s">
        <v>464</v>
      </c>
      <c r="B24" s="26" t="s">
        <v>492</v>
      </c>
      <c r="C24" s="26" t="s">
        <v>520</v>
      </c>
      <c r="D24" s="26" t="s">
        <v>548</v>
      </c>
      <c r="E24" s="26" t="s">
        <v>576</v>
      </c>
      <c r="F24" s="26" t="s">
        <v>604</v>
      </c>
      <c r="G24" s="26" t="s">
        <v>632</v>
      </c>
    </row>
    <row r="25" spans="1:7" x14ac:dyDescent="0.2">
      <c r="A25" s="26" t="s">
        <v>465</v>
      </c>
      <c r="B25" s="26" t="s">
        <v>493</v>
      </c>
      <c r="C25" s="26" t="s">
        <v>521</v>
      </c>
      <c r="D25" s="26" t="s">
        <v>549</v>
      </c>
      <c r="E25" s="26" t="s">
        <v>577</v>
      </c>
      <c r="F25" s="26" t="s">
        <v>605</v>
      </c>
      <c r="G25" s="26" t="s">
        <v>633</v>
      </c>
    </row>
    <row r="26" spans="1:7" x14ac:dyDescent="0.2">
      <c r="A26" s="26" t="s">
        <v>466</v>
      </c>
      <c r="B26" s="26" t="s">
        <v>494</v>
      </c>
      <c r="C26" s="26" t="s">
        <v>522</v>
      </c>
      <c r="D26" s="26" t="s">
        <v>550</v>
      </c>
      <c r="E26" s="26" t="s">
        <v>578</v>
      </c>
      <c r="F26" s="26" t="s">
        <v>606</v>
      </c>
      <c r="G26" s="26" t="s">
        <v>634</v>
      </c>
    </row>
    <row r="27" spans="1:7" x14ac:dyDescent="0.2">
      <c r="A27" s="26" t="s">
        <v>467</v>
      </c>
      <c r="B27" s="26" t="s">
        <v>495</v>
      </c>
      <c r="C27" s="26" t="s">
        <v>523</v>
      </c>
      <c r="D27" s="26" t="s">
        <v>551</v>
      </c>
      <c r="E27" s="26" t="s">
        <v>579</v>
      </c>
      <c r="F27" s="26" t="s">
        <v>607</v>
      </c>
      <c r="G27" s="26" t="s">
        <v>635</v>
      </c>
    </row>
    <row r="28" spans="1:7" x14ac:dyDescent="0.2">
      <c r="A28" s="26" t="s">
        <v>468</v>
      </c>
      <c r="B28" s="26" t="s">
        <v>496</v>
      </c>
      <c r="C28" s="26" t="s">
        <v>524</v>
      </c>
      <c r="D28" s="26" t="s">
        <v>552</v>
      </c>
      <c r="E28" s="26" t="s">
        <v>580</v>
      </c>
      <c r="F28" s="26" t="s">
        <v>608</v>
      </c>
      <c r="G28" s="26" t="s">
        <v>636</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0" tint="-0.34998626667073579"/>
  </sheetPr>
  <dimension ref="A1:F32"/>
  <sheetViews>
    <sheetView zoomScale="130" zoomScaleNormal="130" workbookViewId="0"/>
  </sheetViews>
  <sheetFormatPr baseColWidth="10" defaultColWidth="8.83203125" defaultRowHeight="15" x14ac:dyDescent="0.2"/>
  <cols>
    <col min="1" max="1" width="47.33203125" style="24" customWidth="1"/>
    <col min="2" max="3" width="15.33203125" style="24" bestFit="1" customWidth="1"/>
    <col min="4" max="16384" width="8.83203125" style="24"/>
  </cols>
  <sheetData>
    <row r="1" spans="1:6" x14ac:dyDescent="0.2">
      <c r="A1" s="24" t="s">
        <v>637</v>
      </c>
      <c r="B1" s="24" t="s">
        <v>669</v>
      </c>
      <c r="C1" s="24" t="s">
        <v>701</v>
      </c>
      <c r="D1" s="24" t="s">
        <v>733</v>
      </c>
      <c r="E1" s="24" t="s">
        <v>765</v>
      </c>
      <c r="F1" s="24" t="s">
        <v>797</v>
      </c>
    </row>
    <row r="2" spans="1:6" x14ac:dyDescent="0.2">
      <c r="A2" s="24" t="s">
        <v>638</v>
      </c>
      <c r="B2" s="24" t="s">
        <v>670</v>
      </c>
      <c r="C2" s="24" t="s">
        <v>702</v>
      </c>
      <c r="D2" s="24" t="s">
        <v>734</v>
      </c>
      <c r="E2" s="24" t="s">
        <v>766</v>
      </c>
      <c r="F2" s="24" t="s">
        <v>798</v>
      </c>
    </row>
    <row r="3" spans="1:6" x14ac:dyDescent="0.2">
      <c r="A3" s="24" t="s">
        <v>639</v>
      </c>
      <c r="B3" s="24" t="s">
        <v>671</v>
      </c>
      <c r="C3" s="24" t="s">
        <v>703</v>
      </c>
      <c r="D3" s="24" t="s">
        <v>735</v>
      </c>
      <c r="E3" s="24" t="s">
        <v>767</v>
      </c>
      <c r="F3" s="24" t="s">
        <v>799</v>
      </c>
    </row>
    <row r="4" spans="1:6" x14ac:dyDescent="0.2">
      <c r="A4" s="24" t="s">
        <v>640</v>
      </c>
      <c r="B4" s="24" t="s">
        <v>672</v>
      </c>
      <c r="C4" s="24" t="s">
        <v>704</v>
      </c>
      <c r="D4" s="24" t="s">
        <v>736</v>
      </c>
      <c r="E4" s="24" t="s">
        <v>768</v>
      </c>
      <c r="F4" s="24" t="s">
        <v>800</v>
      </c>
    </row>
    <row r="5" spans="1:6" x14ac:dyDescent="0.2">
      <c r="A5" s="24" t="s">
        <v>641</v>
      </c>
      <c r="B5" s="24" t="s">
        <v>673</v>
      </c>
      <c r="C5" s="24" t="s">
        <v>705</v>
      </c>
      <c r="D5" s="24" t="s">
        <v>737</v>
      </c>
      <c r="E5" s="24" t="s">
        <v>769</v>
      </c>
      <c r="F5" s="24" t="s">
        <v>801</v>
      </c>
    </row>
    <row r="6" spans="1:6" x14ac:dyDescent="0.2">
      <c r="A6" s="24" t="s">
        <v>642</v>
      </c>
      <c r="B6" s="24" t="s">
        <v>674</v>
      </c>
      <c r="C6" s="24" t="s">
        <v>706</v>
      </c>
      <c r="D6" s="24" t="s">
        <v>738</v>
      </c>
      <c r="E6" s="24" t="s">
        <v>770</v>
      </c>
      <c r="F6" s="24" t="s">
        <v>802</v>
      </c>
    </row>
    <row r="7" spans="1:6" x14ac:dyDescent="0.2">
      <c r="A7" s="24" t="s">
        <v>643</v>
      </c>
      <c r="B7" s="24" t="s">
        <v>675</v>
      </c>
      <c r="C7" s="24" t="s">
        <v>707</v>
      </c>
      <c r="D7" s="24" t="s">
        <v>739</v>
      </c>
      <c r="E7" s="24" t="s">
        <v>771</v>
      </c>
      <c r="F7" s="24" t="s">
        <v>803</v>
      </c>
    </row>
    <row r="8" spans="1:6" x14ac:dyDescent="0.2">
      <c r="A8" s="24" t="s">
        <v>644</v>
      </c>
      <c r="B8" s="24" t="s">
        <v>676</v>
      </c>
      <c r="C8" s="24" t="s">
        <v>708</v>
      </c>
      <c r="D8" s="24" t="s">
        <v>740</v>
      </c>
      <c r="E8" s="24" t="s">
        <v>772</v>
      </c>
      <c r="F8" s="24" t="s">
        <v>804</v>
      </c>
    </row>
    <row r="9" spans="1:6" x14ac:dyDescent="0.2">
      <c r="A9" s="24" t="s">
        <v>645</v>
      </c>
      <c r="B9" s="24" t="s">
        <v>677</v>
      </c>
      <c r="C9" s="24" t="s">
        <v>709</v>
      </c>
      <c r="D9" s="24" t="s">
        <v>741</v>
      </c>
      <c r="E9" s="24" t="s">
        <v>773</v>
      </c>
      <c r="F9" s="24" t="s">
        <v>805</v>
      </c>
    </row>
    <row r="10" spans="1:6" x14ac:dyDescent="0.2">
      <c r="A10" s="24" t="s">
        <v>646</v>
      </c>
      <c r="B10" s="24" t="s">
        <v>678</v>
      </c>
      <c r="C10" s="24" t="s">
        <v>710</v>
      </c>
      <c r="D10" s="24" t="s">
        <v>742</v>
      </c>
      <c r="E10" s="24" t="s">
        <v>774</v>
      </c>
      <c r="F10" s="24" t="s">
        <v>806</v>
      </c>
    </row>
    <row r="11" spans="1:6" x14ac:dyDescent="0.2">
      <c r="A11" s="24" t="s">
        <v>647</v>
      </c>
      <c r="B11" s="24" t="s">
        <v>679</v>
      </c>
      <c r="C11" s="24" t="s">
        <v>711</v>
      </c>
      <c r="D11" s="24" t="s">
        <v>743</v>
      </c>
      <c r="E11" s="24" t="s">
        <v>775</v>
      </c>
      <c r="F11" s="24" t="s">
        <v>807</v>
      </c>
    </row>
    <row r="12" spans="1:6" x14ac:dyDescent="0.2">
      <c r="A12" s="24" t="s">
        <v>648</v>
      </c>
      <c r="B12" s="24" t="s">
        <v>680</v>
      </c>
      <c r="C12" s="24" t="s">
        <v>712</v>
      </c>
      <c r="D12" s="24" t="s">
        <v>744</v>
      </c>
      <c r="E12" s="24" t="s">
        <v>776</v>
      </c>
      <c r="F12" s="24" t="s">
        <v>808</v>
      </c>
    </row>
    <row r="13" spans="1:6" x14ac:dyDescent="0.2">
      <c r="A13" s="24" t="s">
        <v>649</v>
      </c>
      <c r="B13" s="24" t="s">
        <v>681</v>
      </c>
      <c r="C13" s="24" t="s">
        <v>713</v>
      </c>
      <c r="D13" s="24" t="s">
        <v>745</v>
      </c>
      <c r="E13" s="24" t="s">
        <v>777</v>
      </c>
      <c r="F13" s="24" t="s">
        <v>809</v>
      </c>
    </row>
    <row r="14" spans="1:6" x14ac:dyDescent="0.2">
      <c r="A14" s="24" t="s">
        <v>650</v>
      </c>
      <c r="B14" s="24" t="s">
        <v>682</v>
      </c>
      <c r="C14" s="24" t="s">
        <v>714</v>
      </c>
      <c r="D14" s="24" t="s">
        <v>746</v>
      </c>
      <c r="E14" s="24" t="s">
        <v>778</v>
      </c>
      <c r="F14" s="24" t="s">
        <v>810</v>
      </c>
    </row>
    <row r="15" spans="1:6" x14ac:dyDescent="0.2">
      <c r="A15" s="24" t="s">
        <v>651</v>
      </c>
      <c r="B15" s="24" t="s">
        <v>683</v>
      </c>
      <c r="C15" s="24" t="s">
        <v>715</v>
      </c>
      <c r="D15" s="24" t="s">
        <v>747</v>
      </c>
      <c r="E15" s="24" t="s">
        <v>779</v>
      </c>
      <c r="F15" s="24" t="s">
        <v>811</v>
      </c>
    </row>
    <row r="16" spans="1:6" x14ac:dyDescent="0.2">
      <c r="A16" s="24" t="s">
        <v>652</v>
      </c>
      <c r="B16" s="24" t="s">
        <v>684</v>
      </c>
      <c r="C16" s="24" t="s">
        <v>716</v>
      </c>
      <c r="D16" s="24" t="s">
        <v>748</v>
      </c>
      <c r="E16" s="24" t="s">
        <v>780</v>
      </c>
      <c r="F16" s="24" t="s">
        <v>812</v>
      </c>
    </row>
    <row r="17" spans="1:6" x14ac:dyDescent="0.2">
      <c r="A17" s="24" t="s">
        <v>653</v>
      </c>
      <c r="B17" s="24" t="s">
        <v>685</v>
      </c>
      <c r="C17" s="24" t="s">
        <v>717</v>
      </c>
      <c r="D17" s="24" t="s">
        <v>749</v>
      </c>
      <c r="E17" s="24" t="s">
        <v>781</v>
      </c>
      <c r="F17" s="24" t="s">
        <v>813</v>
      </c>
    </row>
    <row r="18" spans="1:6" x14ac:dyDescent="0.2">
      <c r="A18" s="24" t="s">
        <v>654</v>
      </c>
      <c r="B18" s="24" t="s">
        <v>686</v>
      </c>
      <c r="C18" s="24" t="s">
        <v>718</v>
      </c>
      <c r="D18" s="24" t="s">
        <v>750</v>
      </c>
      <c r="E18" s="24" t="s">
        <v>782</v>
      </c>
      <c r="F18" s="24" t="s">
        <v>814</v>
      </c>
    </row>
    <row r="19" spans="1:6" x14ac:dyDescent="0.2">
      <c r="A19" s="24" t="s">
        <v>655</v>
      </c>
      <c r="B19" s="24" t="s">
        <v>687</v>
      </c>
      <c r="C19" s="24" t="s">
        <v>719</v>
      </c>
      <c r="D19" s="24" t="s">
        <v>751</v>
      </c>
      <c r="E19" s="24" t="s">
        <v>783</v>
      </c>
      <c r="F19" s="24" t="s">
        <v>815</v>
      </c>
    </row>
    <row r="20" spans="1:6" x14ac:dyDescent="0.2">
      <c r="A20" s="24" t="s">
        <v>656</v>
      </c>
      <c r="B20" s="24" t="s">
        <v>688</v>
      </c>
      <c r="C20" s="24" t="s">
        <v>720</v>
      </c>
      <c r="D20" s="24" t="s">
        <v>752</v>
      </c>
      <c r="E20" s="24" t="s">
        <v>784</v>
      </c>
      <c r="F20" s="24" t="s">
        <v>816</v>
      </c>
    </row>
    <row r="21" spans="1:6" x14ac:dyDescent="0.2">
      <c r="A21" s="24" t="s">
        <v>657</v>
      </c>
      <c r="B21" s="24" t="s">
        <v>689</v>
      </c>
      <c r="C21" s="24" t="s">
        <v>721</v>
      </c>
      <c r="D21" s="24" t="s">
        <v>753</v>
      </c>
      <c r="E21" s="24" t="s">
        <v>785</v>
      </c>
      <c r="F21" s="24" t="s">
        <v>817</v>
      </c>
    </row>
    <row r="22" spans="1:6" x14ac:dyDescent="0.2">
      <c r="A22" s="24" t="s">
        <v>658</v>
      </c>
      <c r="B22" s="24" t="s">
        <v>690</v>
      </c>
      <c r="C22" s="24" t="s">
        <v>722</v>
      </c>
      <c r="D22" s="24" t="s">
        <v>754</v>
      </c>
      <c r="E22" s="24" t="s">
        <v>786</v>
      </c>
      <c r="F22" s="24" t="s">
        <v>818</v>
      </c>
    </row>
    <row r="23" spans="1:6" x14ac:dyDescent="0.2">
      <c r="A23" s="24" t="s">
        <v>659</v>
      </c>
      <c r="B23" s="24" t="s">
        <v>691</v>
      </c>
      <c r="C23" s="24" t="s">
        <v>723</v>
      </c>
      <c r="D23" s="24" t="s">
        <v>755</v>
      </c>
      <c r="E23" s="24" t="s">
        <v>787</v>
      </c>
      <c r="F23" s="24" t="s">
        <v>819</v>
      </c>
    </row>
    <row r="24" spans="1:6" x14ac:dyDescent="0.2">
      <c r="A24" s="24" t="s">
        <v>660</v>
      </c>
      <c r="B24" s="24" t="s">
        <v>692</v>
      </c>
      <c r="C24" s="24" t="s">
        <v>724</v>
      </c>
      <c r="D24" s="24" t="s">
        <v>756</v>
      </c>
      <c r="E24" s="24" t="s">
        <v>788</v>
      </c>
      <c r="F24" s="24" t="s">
        <v>820</v>
      </c>
    </row>
    <row r="25" spans="1:6" x14ac:dyDescent="0.2">
      <c r="A25" s="24" t="s">
        <v>661</v>
      </c>
      <c r="B25" s="24" t="s">
        <v>693</v>
      </c>
      <c r="C25" s="24" t="s">
        <v>725</v>
      </c>
      <c r="D25" s="24" t="s">
        <v>757</v>
      </c>
      <c r="E25" s="24" t="s">
        <v>789</v>
      </c>
      <c r="F25" s="24" t="s">
        <v>821</v>
      </c>
    </row>
    <row r="26" spans="1:6" x14ac:dyDescent="0.2">
      <c r="A26" s="24" t="s">
        <v>662</v>
      </c>
      <c r="B26" s="24" t="s">
        <v>694</v>
      </c>
      <c r="C26" s="24" t="s">
        <v>726</v>
      </c>
      <c r="D26" s="24" t="s">
        <v>758</v>
      </c>
      <c r="E26" s="24" t="s">
        <v>790</v>
      </c>
      <c r="F26" s="24" t="s">
        <v>822</v>
      </c>
    </row>
    <row r="27" spans="1:6" x14ac:dyDescent="0.2">
      <c r="A27" s="24" t="s">
        <v>663</v>
      </c>
      <c r="B27" s="24" t="s">
        <v>695</v>
      </c>
      <c r="C27" s="24" t="s">
        <v>727</v>
      </c>
      <c r="D27" s="24" t="s">
        <v>759</v>
      </c>
      <c r="E27" s="24" t="s">
        <v>791</v>
      </c>
      <c r="F27" s="24" t="s">
        <v>823</v>
      </c>
    </row>
    <row r="28" spans="1:6" x14ac:dyDescent="0.2">
      <c r="A28" s="24" t="s">
        <v>664</v>
      </c>
      <c r="B28" s="24" t="s">
        <v>696</v>
      </c>
      <c r="C28" s="24" t="s">
        <v>728</v>
      </c>
      <c r="D28" s="24" t="s">
        <v>760</v>
      </c>
      <c r="E28" s="24" t="s">
        <v>792</v>
      </c>
      <c r="F28" s="24" t="s">
        <v>824</v>
      </c>
    </row>
    <row r="29" spans="1:6" x14ac:dyDescent="0.2">
      <c r="A29" s="24" t="s">
        <v>665</v>
      </c>
      <c r="B29" s="24" t="s">
        <v>697</v>
      </c>
      <c r="C29" s="24" t="s">
        <v>729</v>
      </c>
      <c r="D29" s="24" t="s">
        <v>761</v>
      </c>
      <c r="E29" s="24" t="s">
        <v>793</v>
      </c>
      <c r="F29" s="24" t="s">
        <v>825</v>
      </c>
    </row>
    <row r="30" spans="1:6" x14ac:dyDescent="0.2">
      <c r="A30" s="24" t="s">
        <v>666</v>
      </c>
      <c r="B30" s="24" t="s">
        <v>698</v>
      </c>
      <c r="C30" s="24" t="s">
        <v>730</v>
      </c>
      <c r="D30" s="24" t="s">
        <v>762</v>
      </c>
      <c r="E30" s="24" t="s">
        <v>794</v>
      </c>
      <c r="F30" s="24" t="s">
        <v>826</v>
      </c>
    </row>
    <row r="31" spans="1:6" x14ac:dyDescent="0.2">
      <c r="A31" s="24" t="s">
        <v>667</v>
      </c>
      <c r="B31" s="24" t="s">
        <v>699</v>
      </c>
      <c r="C31" s="24" t="s">
        <v>731</v>
      </c>
      <c r="D31" s="24" t="s">
        <v>763</v>
      </c>
      <c r="E31" s="24" t="s">
        <v>795</v>
      </c>
      <c r="F31" s="24" t="s">
        <v>827</v>
      </c>
    </row>
    <row r="32" spans="1:6" x14ac:dyDescent="0.2">
      <c r="A32" s="24" t="s">
        <v>668</v>
      </c>
      <c r="B32" s="24" t="s">
        <v>700</v>
      </c>
      <c r="C32" s="24" t="s">
        <v>732</v>
      </c>
      <c r="D32" s="24" t="s">
        <v>764</v>
      </c>
      <c r="E32" s="24" t="s">
        <v>796</v>
      </c>
      <c r="F32" s="24" t="s">
        <v>828</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0" tint="-0.34998626667073579"/>
  </sheetPr>
  <dimension ref="A1:L15"/>
  <sheetViews>
    <sheetView zoomScale="70" zoomScaleNormal="70" workbookViewId="0"/>
  </sheetViews>
  <sheetFormatPr baseColWidth="10" defaultColWidth="9.1640625" defaultRowHeight="15" x14ac:dyDescent="0.2"/>
  <cols>
    <col min="1" max="1" width="17.83203125" style="26" customWidth="1"/>
    <col min="2" max="3" width="17.83203125" style="25" customWidth="1"/>
    <col min="4" max="4" width="19" style="25" bestFit="1" customWidth="1"/>
    <col min="5" max="6" width="17.83203125" style="25" customWidth="1"/>
    <col min="7" max="12" width="8.83203125" style="25" customWidth="1"/>
    <col min="13" max="16384" width="9.1640625" style="26"/>
  </cols>
  <sheetData>
    <row r="1" spans="1:6" x14ac:dyDescent="0.2">
      <c r="A1" s="26" t="s">
        <v>829</v>
      </c>
      <c r="B1" s="25" t="s">
        <v>844</v>
      </c>
      <c r="C1" s="25" t="s">
        <v>859</v>
      </c>
      <c r="D1" s="25" t="s">
        <v>874</v>
      </c>
      <c r="E1" s="25" t="s">
        <v>889</v>
      </c>
      <c r="F1" s="25" t="s">
        <v>904</v>
      </c>
    </row>
    <row r="2" spans="1:6" x14ac:dyDescent="0.2">
      <c r="A2" s="26" t="s">
        <v>830</v>
      </c>
      <c r="B2" s="25" t="s">
        <v>845</v>
      </c>
      <c r="C2" s="25" t="s">
        <v>860</v>
      </c>
      <c r="D2" s="25" t="s">
        <v>875</v>
      </c>
      <c r="E2" s="25" t="s">
        <v>890</v>
      </c>
      <c r="F2" s="25" t="s">
        <v>905</v>
      </c>
    </row>
    <row r="3" spans="1:6" x14ac:dyDescent="0.2">
      <c r="A3" s="26" t="s">
        <v>831</v>
      </c>
      <c r="B3" s="25" t="s">
        <v>846</v>
      </c>
      <c r="C3" s="25" t="s">
        <v>861</v>
      </c>
      <c r="D3" s="25" t="s">
        <v>876</v>
      </c>
      <c r="E3" s="25" t="s">
        <v>891</v>
      </c>
      <c r="F3" s="25" t="s">
        <v>906</v>
      </c>
    </row>
    <row r="4" spans="1:6" x14ac:dyDescent="0.2">
      <c r="A4" s="26" t="s">
        <v>832</v>
      </c>
      <c r="B4" s="25" t="s">
        <v>847</v>
      </c>
      <c r="C4" s="25" t="s">
        <v>862</v>
      </c>
      <c r="D4" s="25" t="s">
        <v>877</v>
      </c>
      <c r="E4" s="25" t="s">
        <v>892</v>
      </c>
      <c r="F4" s="25" t="s">
        <v>907</v>
      </c>
    </row>
    <row r="5" spans="1:6" x14ac:dyDescent="0.2">
      <c r="A5" s="26" t="s">
        <v>833</v>
      </c>
      <c r="B5" s="25" t="s">
        <v>848</v>
      </c>
      <c r="C5" s="25" t="s">
        <v>863</v>
      </c>
      <c r="D5" s="25" t="s">
        <v>878</v>
      </c>
      <c r="E5" s="25" t="s">
        <v>893</v>
      </c>
      <c r="F5" s="25" t="s">
        <v>908</v>
      </c>
    </row>
    <row r="6" spans="1:6" x14ac:dyDescent="0.2">
      <c r="A6" s="26" t="s">
        <v>834</v>
      </c>
      <c r="B6" s="25" t="s">
        <v>849</v>
      </c>
      <c r="C6" s="25" t="s">
        <v>864</v>
      </c>
      <c r="D6" s="25" t="s">
        <v>879</v>
      </c>
      <c r="E6" s="25" t="s">
        <v>894</v>
      </c>
      <c r="F6" s="25" t="s">
        <v>909</v>
      </c>
    </row>
    <row r="7" spans="1:6" x14ac:dyDescent="0.2">
      <c r="A7" s="26" t="s">
        <v>835</v>
      </c>
      <c r="B7" s="25" t="s">
        <v>850</v>
      </c>
      <c r="C7" s="25" t="s">
        <v>865</v>
      </c>
      <c r="D7" s="25" t="s">
        <v>880</v>
      </c>
      <c r="E7" s="25" t="s">
        <v>895</v>
      </c>
      <c r="F7" s="25" t="s">
        <v>910</v>
      </c>
    </row>
    <row r="8" spans="1:6" x14ac:dyDescent="0.2">
      <c r="A8" s="26" t="s">
        <v>836</v>
      </c>
      <c r="B8" s="25" t="s">
        <v>851</v>
      </c>
      <c r="C8" s="25" t="s">
        <v>866</v>
      </c>
      <c r="D8" s="25" t="s">
        <v>881</v>
      </c>
      <c r="E8" s="25" t="s">
        <v>896</v>
      </c>
      <c r="F8" s="25" t="s">
        <v>911</v>
      </c>
    </row>
    <row r="9" spans="1:6" x14ac:dyDescent="0.2">
      <c r="A9" s="26" t="s">
        <v>837</v>
      </c>
      <c r="B9" s="25" t="s">
        <v>852</v>
      </c>
      <c r="C9" s="25" t="s">
        <v>867</v>
      </c>
      <c r="D9" s="25" t="s">
        <v>882</v>
      </c>
      <c r="E9" s="25" t="s">
        <v>897</v>
      </c>
      <c r="F9" s="25" t="s">
        <v>912</v>
      </c>
    </row>
    <row r="10" spans="1:6" x14ac:dyDescent="0.2">
      <c r="A10" s="26" t="s">
        <v>838</v>
      </c>
      <c r="B10" s="25" t="s">
        <v>853</v>
      </c>
      <c r="C10" s="25" t="s">
        <v>868</v>
      </c>
      <c r="D10" s="25" t="s">
        <v>883</v>
      </c>
      <c r="E10" s="25" t="s">
        <v>898</v>
      </c>
      <c r="F10" s="25" t="s">
        <v>913</v>
      </c>
    </row>
    <row r="11" spans="1:6" x14ac:dyDescent="0.2">
      <c r="A11" s="26" t="s">
        <v>839</v>
      </c>
      <c r="B11" s="25" t="s">
        <v>854</v>
      </c>
      <c r="C11" s="25" t="s">
        <v>869</v>
      </c>
      <c r="D11" s="25" t="s">
        <v>884</v>
      </c>
      <c r="E11" s="25" t="s">
        <v>899</v>
      </c>
      <c r="F11" s="25" t="s">
        <v>914</v>
      </c>
    </row>
    <row r="12" spans="1:6" x14ac:dyDescent="0.2">
      <c r="A12" s="26" t="s">
        <v>840</v>
      </c>
      <c r="B12" s="25" t="s">
        <v>855</v>
      </c>
      <c r="C12" s="25" t="s">
        <v>870</v>
      </c>
      <c r="D12" s="25" t="s">
        <v>885</v>
      </c>
      <c r="E12" s="25" t="s">
        <v>900</v>
      </c>
      <c r="F12" s="25" t="s">
        <v>915</v>
      </c>
    </row>
    <row r="13" spans="1:6" x14ac:dyDescent="0.2">
      <c r="A13" s="26" t="s">
        <v>841</v>
      </c>
      <c r="B13" s="25" t="s">
        <v>856</v>
      </c>
      <c r="C13" s="25" t="s">
        <v>871</v>
      </c>
      <c r="D13" s="25" t="s">
        <v>886</v>
      </c>
      <c r="E13" s="25" t="s">
        <v>901</v>
      </c>
      <c r="F13" s="25" t="s">
        <v>916</v>
      </c>
    </row>
    <row r="14" spans="1:6" x14ac:dyDescent="0.2">
      <c r="A14" s="26" t="s">
        <v>842</v>
      </c>
      <c r="B14" s="25" t="s">
        <v>857</v>
      </c>
      <c r="C14" s="25" t="s">
        <v>872</v>
      </c>
      <c r="D14" s="25" t="s">
        <v>887</v>
      </c>
      <c r="E14" s="25" t="s">
        <v>902</v>
      </c>
      <c r="F14" s="25" t="s">
        <v>917</v>
      </c>
    </row>
    <row r="15" spans="1:6" x14ac:dyDescent="0.2">
      <c r="A15" s="26" t="s">
        <v>843</v>
      </c>
      <c r="B15" s="25" t="s">
        <v>858</v>
      </c>
      <c r="C15" s="25" t="s">
        <v>873</v>
      </c>
      <c r="D15" s="25" t="s">
        <v>888</v>
      </c>
      <c r="E15" s="25" t="s">
        <v>903</v>
      </c>
      <c r="F15" s="25" t="s">
        <v>918</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0" tint="-0.34998626667073579"/>
  </sheetPr>
  <dimension ref="A1:C37"/>
  <sheetViews>
    <sheetView zoomScale="89" zoomScaleNormal="89" workbookViewId="0"/>
  </sheetViews>
  <sheetFormatPr baseColWidth="10" defaultColWidth="9.1640625" defaultRowHeight="15" x14ac:dyDescent="0.2"/>
  <cols>
    <col min="1" max="1" width="41" style="26" customWidth="1"/>
    <col min="2" max="3" width="33.33203125" style="25" customWidth="1"/>
    <col min="4" max="16384" width="9.1640625" style="26"/>
  </cols>
  <sheetData>
    <row r="1" spans="1:3" x14ac:dyDescent="0.2">
      <c r="A1" s="26" t="s">
        <v>919</v>
      </c>
      <c r="B1" s="25" t="s">
        <v>956</v>
      </c>
      <c r="C1" s="25" t="s">
        <v>993</v>
      </c>
    </row>
    <row r="2" spans="1:3" x14ac:dyDescent="0.2">
      <c r="A2" s="26" t="s">
        <v>920</v>
      </c>
      <c r="B2" s="25" t="s">
        <v>957</v>
      </c>
      <c r="C2" s="25" t="s">
        <v>994</v>
      </c>
    </row>
    <row r="3" spans="1:3" x14ac:dyDescent="0.2">
      <c r="A3" s="26" t="s">
        <v>921</v>
      </c>
      <c r="B3" s="25" t="s">
        <v>958</v>
      </c>
      <c r="C3" s="25" t="s">
        <v>995</v>
      </c>
    </row>
    <row r="4" spans="1:3" x14ac:dyDescent="0.2">
      <c r="A4" s="26" t="s">
        <v>922</v>
      </c>
      <c r="B4" s="25" t="s">
        <v>959</v>
      </c>
      <c r="C4" s="25" t="s">
        <v>996</v>
      </c>
    </row>
    <row r="5" spans="1:3" x14ac:dyDescent="0.2">
      <c r="A5" s="26" t="s">
        <v>923</v>
      </c>
      <c r="B5" s="25" t="s">
        <v>960</v>
      </c>
      <c r="C5" s="25" t="s">
        <v>997</v>
      </c>
    </row>
    <row r="6" spans="1:3" x14ac:dyDescent="0.2">
      <c r="A6" s="26" t="s">
        <v>924</v>
      </c>
      <c r="B6" s="25" t="s">
        <v>961</v>
      </c>
      <c r="C6" s="25" t="s">
        <v>998</v>
      </c>
    </row>
    <row r="7" spans="1:3" x14ac:dyDescent="0.2">
      <c r="A7" s="26" t="s">
        <v>925</v>
      </c>
      <c r="B7" s="25" t="s">
        <v>962</v>
      </c>
      <c r="C7" s="25" t="s">
        <v>999</v>
      </c>
    </row>
    <row r="8" spans="1:3" x14ac:dyDescent="0.2">
      <c r="A8" s="26" t="s">
        <v>926</v>
      </c>
      <c r="B8" s="25" t="s">
        <v>963</v>
      </c>
      <c r="C8" s="25" t="s">
        <v>1000</v>
      </c>
    </row>
    <row r="9" spans="1:3" x14ac:dyDescent="0.2">
      <c r="A9" s="26" t="s">
        <v>927</v>
      </c>
      <c r="B9" s="25" t="s">
        <v>964</v>
      </c>
      <c r="C9" s="25" t="s">
        <v>1001</v>
      </c>
    </row>
    <row r="10" spans="1:3" x14ac:dyDescent="0.2">
      <c r="A10" s="26" t="s">
        <v>928</v>
      </c>
      <c r="B10" s="25" t="s">
        <v>965</v>
      </c>
      <c r="C10" s="25" t="s">
        <v>1002</v>
      </c>
    </row>
    <row r="11" spans="1:3" x14ac:dyDescent="0.2">
      <c r="A11" s="26" t="s">
        <v>929</v>
      </c>
      <c r="B11" s="25" t="s">
        <v>966</v>
      </c>
      <c r="C11" s="25" t="s">
        <v>1003</v>
      </c>
    </row>
    <row r="12" spans="1:3" x14ac:dyDescent="0.2">
      <c r="A12" s="26" t="s">
        <v>930</v>
      </c>
      <c r="B12" s="25" t="s">
        <v>967</v>
      </c>
      <c r="C12" s="25" t="s">
        <v>1004</v>
      </c>
    </row>
    <row r="13" spans="1:3" x14ac:dyDescent="0.2">
      <c r="A13" s="26" t="s">
        <v>931</v>
      </c>
      <c r="B13" s="25" t="s">
        <v>968</v>
      </c>
      <c r="C13" s="25" t="s">
        <v>1005</v>
      </c>
    </row>
    <row r="14" spans="1:3" x14ac:dyDescent="0.2">
      <c r="A14" s="26" t="s">
        <v>932</v>
      </c>
      <c r="B14" s="25" t="s">
        <v>969</v>
      </c>
      <c r="C14" s="25" t="s">
        <v>1006</v>
      </c>
    </row>
    <row r="15" spans="1:3" x14ac:dyDescent="0.2">
      <c r="A15" s="26" t="s">
        <v>933</v>
      </c>
      <c r="B15" s="25" t="s">
        <v>970</v>
      </c>
      <c r="C15" s="25" t="s">
        <v>1007</v>
      </c>
    </row>
    <row r="16" spans="1:3" x14ac:dyDescent="0.2">
      <c r="A16" s="26" t="s">
        <v>934</v>
      </c>
      <c r="B16" s="25" t="s">
        <v>971</v>
      </c>
      <c r="C16" s="25" t="s">
        <v>1008</v>
      </c>
    </row>
    <row r="17" spans="1:3" x14ac:dyDescent="0.2">
      <c r="A17" s="26" t="s">
        <v>935</v>
      </c>
      <c r="B17" s="25" t="s">
        <v>972</v>
      </c>
      <c r="C17" s="25" t="s">
        <v>1009</v>
      </c>
    </row>
    <row r="18" spans="1:3" x14ac:dyDescent="0.2">
      <c r="A18" s="26" t="s">
        <v>936</v>
      </c>
      <c r="B18" s="25" t="s">
        <v>973</v>
      </c>
      <c r="C18" s="25" t="s">
        <v>1010</v>
      </c>
    </row>
    <row r="19" spans="1:3" x14ac:dyDescent="0.2">
      <c r="A19" s="26" t="s">
        <v>937</v>
      </c>
      <c r="B19" s="25" t="s">
        <v>974</v>
      </c>
      <c r="C19" s="25" t="s">
        <v>1011</v>
      </c>
    </row>
    <row r="20" spans="1:3" x14ac:dyDescent="0.2">
      <c r="A20" s="26" t="s">
        <v>938</v>
      </c>
      <c r="B20" s="25" t="s">
        <v>975</v>
      </c>
      <c r="C20" s="25" t="s">
        <v>1012</v>
      </c>
    </row>
    <row r="21" spans="1:3" x14ac:dyDescent="0.2">
      <c r="A21" s="26" t="s">
        <v>939</v>
      </c>
      <c r="B21" s="25" t="s">
        <v>976</v>
      </c>
      <c r="C21" s="25" t="s">
        <v>1013</v>
      </c>
    </row>
    <row r="22" spans="1:3" x14ac:dyDescent="0.2">
      <c r="A22" s="26" t="s">
        <v>940</v>
      </c>
      <c r="B22" s="25" t="s">
        <v>977</v>
      </c>
      <c r="C22" s="25" t="s">
        <v>1014</v>
      </c>
    </row>
    <row r="23" spans="1:3" x14ac:dyDescent="0.2">
      <c r="A23" s="26" t="s">
        <v>941</v>
      </c>
      <c r="B23" s="25" t="s">
        <v>978</v>
      </c>
      <c r="C23" s="25" t="s">
        <v>1015</v>
      </c>
    </row>
    <row r="24" spans="1:3" x14ac:dyDescent="0.2">
      <c r="A24" s="26" t="s">
        <v>942</v>
      </c>
      <c r="B24" s="25" t="s">
        <v>979</v>
      </c>
      <c r="C24" s="25" t="s">
        <v>1016</v>
      </c>
    </row>
    <row r="25" spans="1:3" x14ac:dyDescent="0.2">
      <c r="A25" s="26" t="s">
        <v>943</v>
      </c>
      <c r="B25" s="25" t="s">
        <v>980</v>
      </c>
      <c r="C25" s="25" t="s">
        <v>1017</v>
      </c>
    </row>
    <row r="26" spans="1:3" x14ac:dyDescent="0.2">
      <c r="A26" s="26" t="s">
        <v>944</v>
      </c>
      <c r="B26" s="25" t="s">
        <v>981</v>
      </c>
      <c r="C26" s="25" t="s">
        <v>1018</v>
      </c>
    </row>
    <row r="27" spans="1:3" x14ac:dyDescent="0.2">
      <c r="A27" s="26" t="s">
        <v>945</v>
      </c>
      <c r="B27" s="25" t="s">
        <v>982</v>
      </c>
      <c r="C27" s="25" t="s">
        <v>1019</v>
      </c>
    </row>
    <row r="28" spans="1:3" x14ac:dyDescent="0.2">
      <c r="A28" s="26" t="s">
        <v>946</v>
      </c>
      <c r="B28" s="25" t="s">
        <v>983</v>
      </c>
      <c r="C28" s="25" t="s">
        <v>1020</v>
      </c>
    </row>
    <row r="29" spans="1:3" x14ac:dyDescent="0.2">
      <c r="A29" s="26" t="s">
        <v>947</v>
      </c>
      <c r="B29" s="25" t="s">
        <v>984</v>
      </c>
      <c r="C29" s="25" t="s">
        <v>1021</v>
      </c>
    </row>
    <row r="30" spans="1:3" x14ac:dyDescent="0.2">
      <c r="A30" s="26" t="s">
        <v>948</v>
      </c>
      <c r="B30" s="25" t="s">
        <v>985</v>
      </c>
      <c r="C30" s="25" t="s">
        <v>1022</v>
      </c>
    </row>
    <row r="31" spans="1:3" x14ac:dyDescent="0.2">
      <c r="A31" s="26" t="s">
        <v>949</v>
      </c>
      <c r="B31" s="25" t="s">
        <v>986</v>
      </c>
      <c r="C31" s="25" t="s">
        <v>1023</v>
      </c>
    </row>
    <row r="32" spans="1:3" x14ac:dyDescent="0.2">
      <c r="A32" s="26" t="s">
        <v>950</v>
      </c>
      <c r="B32" s="25" t="s">
        <v>987</v>
      </c>
      <c r="C32" s="25" t="s">
        <v>1024</v>
      </c>
    </row>
    <row r="33" spans="1:3" x14ac:dyDescent="0.2">
      <c r="A33" s="26" t="s">
        <v>951</v>
      </c>
      <c r="B33" s="25" t="s">
        <v>988</v>
      </c>
      <c r="C33" s="25" t="s">
        <v>1025</v>
      </c>
    </row>
    <row r="34" spans="1:3" x14ac:dyDescent="0.2">
      <c r="A34" s="26" t="s">
        <v>952</v>
      </c>
      <c r="B34" s="25" t="s">
        <v>989</v>
      </c>
      <c r="C34" s="25" t="s">
        <v>1026</v>
      </c>
    </row>
    <row r="35" spans="1:3" x14ac:dyDescent="0.2">
      <c r="A35" s="26" t="s">
        <v>953</v>
      </c>
      <c r="B35" s="25" t="s">
        <v>990</v>
      </c>
      <c r="C35" s="25" t="s">
        <v>1027</v>
      </c>
    </row>
    <row r="36" spans="1:3" x14ac:dyDescent="0.2">
      <c r="A36" s="26" t="s">
        <v>954</v>
      </c>
      <c r="B36" s="25" t="s">
        <v>991</v>
      </c>
      <c r="C36" s="25" t="s">
        <v>1028</v>
      </c>
    </row>
    <row r="37" spans="1:3" x14ac:dyDescent="0.2">
      <c r="A37" s="26" t="s">
        <v>955</v>
      </c>
      <c r="B37" s="25" t="s">
        <v>992</v>
      </c>
      <c r="C37" s="25" t="s">
        <v>1029</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0" tint="-0.34998626667073579"/>
  </sheetPr>
  <dimension ref="A1:L19"/>
  <sheetViews>
    <sheetView zoomScale="70" zoomScaleNormal="70" workbookViewId="0"/>
  </sheetViews>
  <sheetFormatPr baseColWidth="10" defaultColWidth="9.1640625" defaultRowHeight="15" x14ac:dyDescent="0.2"/>
  <cols>
    <col min="1" max="1" width="38.1640625" style="26" customWidth="1"/>
    <col min="2" max="7" width="10.33203125" style="25" customWidth="1"/>
    <col min="8" max="10" width="9.1640625" style="25"/>
    <col min="11" max="11" width="14" style="25" customWidth="1"/>
    <col min="12" max="12" width="8.83203125" style="25" customWidth="1"/>
    <col min="13" max="16384" width="9.1640625" style="26"/>
  </cols>
  <sheetData>
    <row r="1" spans="1:12" x14ac:dyDescent="0.2">
      <c r="A1" s="26" t="s">
        <v>1030</v>
      </c>
      <c r="B1" s="25" t="s">
        <v>1049</v>
      </c>
      <c r="C1" s="25" t="s">
        <v>1068</v>
      </c>
      <c r="D1" s="25" t="s">
        <v>1087</v>
      </c>
      <c r="E1" s="25" t="s">
        <v>1106</v>
      </c>
      <c r="F1" s="25" t="s">
        <v>1125</v>
      </c>
      <c r="G1" s="25" t="s">
        <v>1144</v>
      </c>
      <c r="H1" s="25" t="s">
        <v>1163</v>
      </c>
      <c r="I1" s="25" t="s">
        <v>1182</v>
      </c>
      <c r="J1" s="25" t="s">
        <v>1201</v>
      </c>
      <c r="K1" s="25" t="s">
        <v>1220</v>
      </c>
      <c r="L1" s="25" t="s">
        <v>1239</v>
      </c>
    </row>
    <row r="2" spans="1:12" x14ac:dyDescent="0.2">
      <c r="A2" s="26" t="s">
        <v>1031</v>
      </c>
      <c r="B2" s="25" t="s">
        <v>1050</v>
      </c>
      <c r="C2" s="25" t="s">
        <v>1069</v>
      </c>
      <c r="D2" s="25" t="s">
        <v>1088</v>
      </c>
      <c r="E2" s="25" t="s">
        <v>1107</v>
      </c>
      <c r="F2" s="25" t="s">
        <v>1126</v>
      </c>
      <c r="G2" s="25" t="s">
        <v>1145</v>
      </c>
      <c r="H2" s="25" t="s">
        <v>1164</v>
      </c>
      <c r="I2" s="25" t="s">
        <v>1183</v>
      </c>
      <c r="J2" s="25" t="s">
        <v>1202</v>
      </c>
      <c r="K2" s="25" t="s">
        <v>1221</v>
      </c>
      <c r="L2" s="25" t="s">
        <v>1240</v>
      </c>
    </row>
    <row r="3" spans="1:12" x14ac:dyDescent="0.2">
      <c r="A3" s="26" t="s">
        <v>1032</v>
      </c>
      <c r="B3" s="25" t="s">
        <v>1051</v>
      </c>
      <c r="C3" s="25" t="s">
        <v>1070</v>
      </c>
      <c r="D3" s="25" t="s">
        <v>1089</v>
      </c>
      <c r="E3" s="25" t="s">
        <v>1108</v>
      </c>
      <c r="F3" s="25" t="s">
        <v>1127</v>
      </c>
      <c r="G3" s="25" t="s">
        <v>1146</v>
      </c>
      <c r="H3" s="25" t="s">
        <v>1165</v>
      </c>
      <c r="I3" s="25" t="s">
        <v>1184</v>
      </c>
      <c r="J3" s="25" t="s">
        <v>1203</v>
      </c>
      <c r="K3" s="25" t="s">
        <v>1222</v>
      </c>
      <c r="L3" s="25" t="s">
        <v>1241</v>
      </c>
    </row>
    <row r="4" spans="1:12" x14ac:dyDescent="0.2">
      <c r="A4" s="26" t="s">
        <v>1033</v>
      </c>
      <c r="B4" s="25" t="s">
        <v>1052</v>
      </c>
      <c r="C4" s="25" t="s">
        <v>1071</v>
      </c>
      <c r="D4" s="25" t="s">
        <v>1090</v>
      </c>
      <c r="E4" s="25" t="s">
        <v>1109</v>
      </c>
      <c r="F4" s="25" t="s">
        <v>1128</v>
      </c>
      <c r="G4" s="25" t="s">
        <v>1147</v>
      </c>
      <c r="H4" s="25" t="s">
        <v>1166</v>
      </c>
      <c r="I4" s="25" t="s">
        <v>1185</v>
      </c>
      <c r="J4" s="25" t="s">
        <v>1204</v>
      </c>
      <c r="K4" s="25" t="s">
        <v>1223</v>
      </c>
      <c r="L4" s="25" t="s">
        <v>1242</v>
      </c>
    </row>
    <row r="5" spans="1:12" x14ac:dyDescent="0.2">
      <c r="A5" s="26" t="s">
        <v>1034</v>
      </c>
      <c r="B5" s="25" t="s">
        <v>1053</v>
      </c>
      <c r="C5" s="25" t="s">
        <v>1072</v>
      </c>
      <c r="D5" s="25" t="s">
        <v>1091</v>
      </c>
      <c r="E5" s="25" t="s">
        <v>1110</v>
      </c>
      <c r="F5" s="25" t="s">
        <v>1129</v>
      </c>
      <c r="G5" s="25" t="s">
        <v>1148</v>
      </c>
      <c r="H5" s="25" t="s">
        <v>1167</v>
      </c>
      <c r="I5" s="25" t="s">
        <v>1186</v>
      </c>
      <c r="J5" s="25" t="s">
        <v>1205</v>
      </c>
      <c r="K5" s="25" t="s">
        <v>1224</v>
      </c>
      <c r="L5" s="25" t="s">
        <v>1243</v>
      </c>
    </row>
    <row r="6" spans="1:12" x14ac:dyDescent="0.2">
      <c r="A6" s="26" t="s">
        <v>1035</v>
      </c>
      <c r="B6" s="25" t="s">
        <v>1054</v>
      </c>
      <c r="C6" s="25" t="s">
        <v>1073</v>
      </c>
      <c r="D6" s="25" t="s">
        <v>1092</v>
      </c>
      <c r="E6" s="25" t="s">
        <v>1111</v>
      </c>
      <c r="F6" s="25" t="s">
        <v>1130</v>
      </c>
      <c r="G6" s="25" t="s">
        <v>1149</v>
      </c>
      <c r="H6" s="25" t="s">
        <v>1168</v>
      </c>
      <c r="I6" s="25" t="s">
        <v>1187</v>
      </c>
      <c r="J6" s="25" t="s">
        <v>1206</v>
      </c>
      <c r="K6" s="25" t="s">
        <v>1225</v>
      </c>
      <c r="L6" s="25" t="s">
        <v>1244</v>
      </c>
    </row>
    <row r="7" spans="1:12" x14ac:dyDescent="0.2">
      <c r="A7" s="26" t="s">
        <v>1036</v>
      </c>
      <c r="B7" s="25" t="s">
        <v>1055</v>
      </c>
      <c r="C7" s="25" t="s">
        <v>1074</v>
      </c>
      <c r="D7" s="25" t="s">
        <v>1093</v>
      </c>
      <c r="E7" s="25" t="s">
        <v>1112</v>
      </c>
      <c r="F7" s="25" t="s">
        <v>1131</v>
      </c>
      <c r="G7" s="25" t="s">
        <v>1150</v>
      </c>
      <c r="H7" s="25" t="s">
        <v>1169</v>
      </c>
      <c r="I7" s="25" t="s">
        <v>1188</v>
      </c>
      <c r="J7" s="25" t="s">
        <v>1207</v>
      </c>
      <c r="K7" s="25" t="s">
        <v>1226</v>
      </c>
      <c r="L7" s="25" t="s">
        <v>1245</v>
      </c>
    </row>
    <row r="8" spans="1:12" x14ac:dyDescent="0.2">
      <c r="A8" s="26" t="s">
        <v>1037</v>
      </c>
      <c r="B8" s="25" t="s">
        <v>1056</v>
      </c>
      <c r="C8" s="25" t="s">
        <v>1075</v>
      </c>
      <c r="D8" s="25" t="s">
        <v>1094</v>
      </c>
      <c r="E8" s="25" t="s">
        <v>1113</v>
      </c>
      <c r="F8" s="25" t="s">
        <v>1132</v>
      </c>
      <c r="G8" s="25" t="s">
        <v>1151</v>
      </c>
      <c r="H8" s="25" t="s">
        <v>1170</v>
      </c>
      <c r="I8" s="25" t="s">
        <v>1189</v>
      </c>
      <c r="J8" s="25" t="s">
        <v>1208</v>
      </c>
      <c r="K8" s="25" t="s">
        <v>1227</v>
      </c>
      <c r="L8" s="25" t="s">
        <v>1246</v>
      </c>
    </row>
    <row r="9" spans="1:12" x14ac:dyDescent="0.2">
      <c r="A9" s="26" t="s">
        <v>1038</v>
      </c>
      <c r="B9" s="25" t="s">
        <v>1057</v>
      </c>
      <c r="C9" s="25" t="s">
        <v>1076</v>
      </c>
      <c r="D9" s="25" t="s">
        <v>1095</v>
      </c>
      <c r="E9" s="25" t="s">
        <v>1114</v>
      </c>
      <c r="F9" s="25" t="s">
        <v>1133</v>
      </c>
      <c r="G9" s="25" t="s">
        <v>1152</v>
      </c>
      <c r="H9" s="25" t="s">
        <v>1171</v>
      </c>
      <c r="I9" s="25" t="s">
        <v>1190</v>
      </c>
      <c r="J9" s="25" t="s">
        <v>1209</v>
      </c>
      <c r="K9" s="25" t="s">
        <v>1228</v>
      </c>
      <c r="L9" s="25" t="s">
        <v>1247</v>
      </c>
    </row>
    <row r="10" spans="1:12" x14ac:dyDescent="0.2">
      <c r="A10" s="26" t="s">
        <v>1039</v>
      </c>
      <c r="B10" s="25" t="s">
        <v>1058</v>
      </c>
      <c r="C10" s="25" t="s">
        <v>1077</v>
      </c>
      <c r="D10" s="25" t="s">
        <v>1096</v>
      </c>
      <c r="E10" s="25" t="s">
        <v>1115</v>
      </c>
      <c r="F10" s="25" t="s">
        <v>1134</v>
      </c>
      <c r="G10" s="25" t="s">
        <v>1153</v>
      </c>
      <c r="H10" s="25" t="s">
        <v>1172</v>
      </c>
      <c r="I10" s="25" t="s">
        <v>1191</v>
      </c>
      <c r="J10" s="25" t="s">
        <v>1210</v>
      </c>
      <c r="K10" s="25" t="s">
        <v>1229</v>
      </c>
      <c r="L10" s="25" t="s">
        <v>1248</v>
      </c>
    </row>
    <row r="11" spans="1:12" x14ac:dyDescent="0.2">
      <c r="A11" s="26" t="s">
        <v>1040</v>
      </c>
      <c r="B11" s="25" t="s">
        <v>1059</v>
      </c>
      <c r="C11" s="25" t="s">
        <v>1078</v>
      </c>
      <c r="D11" s="25" t="s">
        <v>1097</v>
      </c>
      <c r="E11" s="25" t="s">
        <v>1116</v>
      </c>
      <c r="F11" s="25" t="s">
        <v>1135</v>
      </c>
      <c r="G11" s="25" t="s">
        <v>1154</v>
      </c>
      <c r="H11" s="25" t="s">
        <v>1173</v>
      </c>
      <c r="I11" s="25" t="s">
        <v>1192</v>
      </c>
      <c r="J11" s="25" t="s">
        <v>1211</v>
      </c>
      <c r="K11" s="25" t="s">
        <v>1230</v>
      </c>
      <c r="L11" s="25" t="s">
        <v>1249</v>
      </c>
    </row>
    <row r="12" spans="1:12" x14ac:dyDescent="0.2">
      <c r="A12" s="26" t="s">
        <v>1041</v>
      </c>
      <c r="B12" s="25" t="s">
        <v>1060</v>
      </c>
      <c r="C12" s="25" t="s">
        <v>1079</v>
      </c>
      <c r="D12" s="25" t="s">
        <v>1098</v>
      </c>
      <c r="E12" s="25" t="s">
        <v>1117</v>
      </c>
      <c r="F12" s="25" t="s">
        <v>1136</v>
      </c>
      <c r="G12" s="25" t="s">
        <v>1155</v>
      </c>
      <c r="H12" s="25" t="s">
        <v>1174</v>
      </c>
      <c r="I12" s="25" t="s">
        <v>1193</v>
      </c>
      <c r="J12" s="25" t="s">
        <v>1212</v>
      </c>
      <c r="K12" s="25" t="s">
        <v>1231</v>
      </c>
      <c r="L12" s="25" t="s">
        <v>1250</v>
      </c>
    </row>
    <row r="13" spans="1:12" x14ac:dyDescent="0.2">
      <c r="A13" s="26" t="s">
        <v>1042</v>
      </c>
      <c r="B13" s="25" t="s">
        <v>1061</v>
      </c>
      <c r="C13" s="25" t="s">
        <v>1080</v>
      </c>
      <c r="D13" s="25" t="s">
        <v>1099</v>
      </c>
      <c r="E13" s="25" t="s">
        <v>1118</v>
      </c>
      <c r="F13" s="25" t="s">
        <v>1137</v>
      </c>
      <c r="G13" s="25" t="s">
        <v>1156</v>
      </c>
      <c r="H13" s="25" t="s">
        <v>1175</v>
      </c>
      <c r="I13" s="25" t="s">
        <v>1194</v>
      </c>
      <c r="J13" s="25" t="s">
        <v>1213</v>
      </c>
      <c r="K13" s="25" t="s">
        <v>1232</v>
      </c>
      <c r="L13" s="25" t="s">
        <v>1251</v>
      </c>
    </row>
    <row r="14" spans="1:12" x14ac:dyDescent="0.2">
      <c r="A14" s="26" t="s">
        <v>1043</v>
      </c>
      <c r="B14" s="25" t="s">
        <v>1062</v>
      </c>
      <c r="C14" s="25" t="s">
        <v>1081</v>
      </c>
      <c r="D14" s="25" t="s">
        <v>1100</v>
      </c>
      <c r="E14" s="25" t="s">
        <v>1119</v>
      </c>
      <c r="F14" s="25" t="s">
        <v>1138</v>
      </c>
      <c r="G14" s="25" t="s">
        <v>1157</v>
      </c>
      <c r="H14" s="25" t="s">
        <v>1176</v>
      </c>
      <c r="I14" s="25" t="s">
        <v>1195</v>
      </c>
      <c r="J14" s="25" t="s">
        <v>1214</v>
      </c>
      <c r="K14" s="25" t="s">
        <v>1233</v>
      </c>
      <c r="L14" s="25" t="s">
        <v>1252</v>
      </c>
    </row>
    <row r="15" spans="1:12" x14ac:dyDescent="0.2">
      <c r="A15" s="26" t="s">
        <v>1044</v>
      </c>
      <c r="B15" s="25" t="s">
        <v>1063</v>
      </c>
      <c r="C15" s="25" t="s">
        <v>1082</v>
      </c>
      <c r="D15" s="25" t="s">
        <v>1101</v>
      </c>
      <c r="E15" s="25" t="s">
        <v>1120</v>
      </c>
      <c r="F15" s="25" t="s">
        <v>1139</v>
      </c>
      <c r="G15" s="25" t="s">
        <v>1158</v>
      </c>
      <c r="H15" s="25" t="s">
        <v>1177</v>
      </c>
      <c r="I15" s="25" t="s">
        <v>1196</v>
      </c>
      <c r="J15" s="25" t="s">
        <v>1215</v>
      </c>
      <c r="K15" s="25" t="s">
        <v>1234</v>
      </c>
      <c r="L15" s="25" t="s">
        <v>1253</v>
      </c>
    </row>
    <row r="16" spans="1:12" x14ac:dyDescent="0.2">
      <c r="A16" s="26" t="s">
        <v>1045</v>
      </c>
      <c r="B16" s="25" t="s">
        <v>1064</v>
      </c>
      <c r="C16" s="25" t="s">
        <v>1083</v>
      </c>
      <c r="D16" s="25" t="s">
        <v>1102</v>
      </c>
      <c r="E16" s="25" t="s">
        <v>1121</v>
      </c>
      <c r="F16" s="25" t="s">
        <v>1140</v>
      </c>
      <c r="G16" s="25" t="s">
        <v>1159</v>
      </c>
      <c r="H16" s="25" t="s">
        <v>1178</v>
      </c>
      <c r="I16" s="25" t="s">
        <v>1197</v>
      </c>
      <c r="J16" s="25" t="s">
        <v>1216</v>
      </c>
      <c r="K16" s="25" t="s">
        <v>1235</v>
      </c>
      <c r="L16" s="25" t="s">
        <v>1254</v>
      </c>
    </row>
    <row r="17" spans="1:12" x14ac:dyDescent="0.2">
      <c r="A17" s="26" t="s">
        <v>1046</v>
      </c>
      <c r="B17" s="25" t="s">
        <v>1065</v>
      </c>
      <c r="C17" s="25" t="s">
        <v>1084</v>
      </c>
      <c r="D17" s="25" t="s">
        <v>1103</v>
      </c>
      <c r="E17" s="25" t="s">
        <v>1122</v>
      </c>
      <c r="F17" s="25" t="s">
        <v>1141</v>
      </c>
      <c r="G17" s="25" t="s">
        <v>1160</v>
      </c>
      <c r="H17" s="25" t="s">
        <v>1179</v>
      </c>
      <c r="I17" s="25" t="s">
        <v>1198</v>
      </c>
      <c r="J17" s="25" t="s">
        <v>1217</v>
      </c>
      <c r="K17" s="25" t="s">
        <v>1236</v>
      </c>
      <c r="L17" s="25" t="s">
        <v>1255</v>
      </c>
    </row>
    <row r="18" spans="1:12" x14ac:dyDescent="0.2">
      <c r="A18" s="26" t="s">
        <v>1047</v>
      </c>
      <c r="B18" s="25" t="s">
        <v>1066</v>
      </c>
      <c r="C18" s="25" t="s">
        <v>1085</v>
      </c>
      <c r="D18" s="25" t="s">
        <v>1104</v>
      </c>
      <c r="E18" s="25" t="s">
        <v>1123</v>
      </c>
      <c r="F18" s="25" t="s">
        <v>1142</v>
      </c>
      <c r="G18" s="25" t="s">
        <v>1161</v>
      </c>
      <c r="H18" s="25" t="s">
        <v>1180</v>
      </c>
      <c r="I18" s="25" t="s">
        <v>1199</v>
      </c>
      <c r="J18" s="25" t="s">
        <v>1218</v>
      </c>
      <c r="K18" s="25" t="s">
        <v>1237</v>
      </c>
      <c r="L18" s="25" t="s">
        <v>1256</v>
      </c>
    </row>
    <row r="19" spans="1:12" x14ac:dyDescent="0.2">
      <c r="A19" s="26" t="s">
        <v>1048</v>
      </c>
      <c r="B19" s="25" t="s">
        <v>1067</v>
      </c>
      <c r="C19" s="25" t="s">
        <v>1086</v>
      </c>
      <c r="D19" s="25" t="s">
        <v>1105</v>
      </c>
      <c r="E19" s="25" t="s">
        <v>1124</v>
      </c>
      <c r="F19" s="25" t="s">
        <v>1143</v>
      </c>
      <c r="G19" s="25" t="s">
        <v>1162</v>
      </c>
      <c r="H19" s="25" t="s">
        <v>1181</v>
      </c>
      <c r="I19" s="25" t="s">
        <v>1200</v>
      </c>
      <c r="J19" s="25" t="s">
        <v>1219</v>
      </c>
      <c r="K19" s="25" t="s">
        <v>1238</v>
      </c>
      <c r="L19" s="25" t="s">
        <v>1257</v>
      </c>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0" tint="-0.34998626667073579"/>
  </sheetPr>
  <dimension ref="A1:F23"/>
  <sheetViews>
    <sheetView zoomScale="85" zoomScaleNormal="85" workbookViewId="0"/>
  </sheetViews>
  <sheetFormatPr baseColWidth="10" defaultColWidth="8.83203125" defaultRowHeight="15" x14ac:dyDescent="0.2"/>
  <cols>
    <col min="1" max="1" width="35" style="24" customWidth="1"/>
    <col min="2" max="16384" width="8.83203125" style="24"/>
  </cols>
  <sheetData>
    <row r="1" spans="1:6" x14ac:dyDescent="0.2">
      <c r="A1" s="24" t="s">
        <v>1258</v>
      </c>
      <c r="B1" s="24" t="s">
        <v>1281</v>
      </c>
      <c r="C1" s="24" t="s">
        <v>1304</v>
      </c>
      <c r="D1" s="24" t="s">
        <v>1327</v>
      </c>
      <c r="E1" s="24" t="s">
        <v>1350</v>
      </c>
      <c r="F1" s="24" t="s">
        <v>1373</v>
      </c>
    </row>
    <row r="2" spans="1:6" x14ac:dyDescent="0.2">
      <c r="A2" s="24" t="s">
        <v>1259</v>
      </c>
      <c r="B2" s="24" t="s">
        <v>1282</v>
      </c>
      <c r="C2" s="24" t="s">
        <v>1305</v>
      </c>
      <c r="D2" s="24" t="s">
        <v>1328</v>
      </c>
      <c r="E2" s="24" t="s">
        <v>1351</v>
      </c>
      <c r="F2" s="24" t="s">
        <v>1374</v>
      </c>
    </row>
    <row r="3" spans="1:6" x14ac:dyDescent="0.2">
      <c r="A3" s="24" t="s">
        <v>1260</v>
      </c>
      <c r="B3" s="24" t="s">
        <v>1283</v>
      </c>
      <c r="C3" s="24" t="s">
        <v>1306</v>
      </c>
      <c r="D3" s="24" t="s">
        <v>1329</v>
      </c>
      <c r="E3" s="24" t="s">
        <v>1352</v>
      </c>
      <c r="F3" s="24" t="s">
        <v>1375</v>
      </c>
    </row>
    <row r="4" spans="1:6" x14ac:dyDescent="0.2">
      <c r="A4" s="24" t="s">
        <v>1261</v>
      </c>
      <c r="B4" s="24" t="s">
        <v>1284</v>
      </c>
      <c r="C4" s="24" t="s">
        <v>1307</v>
      </c>
      <c r="D4" s="24" t="s">
        <v>1330</v>
      </c>
      <c r="E4" s="24" t="s">
        <v>1353</v>
      </c>
      <c r="F4" s="24" t="s">
        <v>1376</v>
      </c>
    </row>
    <row r="5" spans="1:6" x14ac:dyDescent="0.2">
      <c r="A5" s="24" t="s">
        <v>1262</v>
      </c>
      <c r="B5" s="24" t="s">
        <v>1285</v>
      </c>
      <c r="C5" s="24" t="s">
        <v>1308</v>
      </c>
      <c r="D5" s="24" t="s">
        <v>1331</v>
      </c>
      <c r="E5" s="24" t="s">
        <v>1354</v>
      </c>
      <c r="F5" s="24" t="s">
        <v>1377</v>
      </c>
    </row>
    <row r="6" spans="1:6" x14ac:dyDescent="0.2">
      <c r="A6" s="24" t="s">
        <v>1263</v>
      </c>
      <c r="B6" s="24" t="s">
        <v>1286</v>
      </c>
      <c r="C6" s="24" t="s">
        <v>1309</v>
      </c>
      <c r="D6" s="24" t="s">
        <v>1332</v>
      </c>
      <c r="E6" s="24" t="s">
        <v>1355</v>
      </c>
      <c r="F6" s="24" t="s">
        <v>1378</v>
      </c>
    </row>
    <row r="7" spans="1:6" x14ac:dyDescent="0.2">
      <c r="A7" s="24" t="s">
        <v>1264</v>
      </c>
      <c r="B7" s="24" t="s">
        <v>1287</v>
      </c>
      <c r="C7" s="24" t="s">
        <v>1310</v>
      </c>
      <c r="D7" s="24" t="s">
        <v>1333</v>
      </c>
      <c r="E7" s="24" t="s">
        <v>1356</v>
      </c>
      <c r="F7" s="24" t="s">
        <v>1379</v>
      </c>
    </row>
    <row r="8" spans="1:6" x14ac:dyDescent="0.2">
      <c r="A8" s="24" t="s">
        <v>1265</v>
      </c>
      <c r="B8" s="24" t="s">
        <v>1288</v>
      </c>
      <c r="C8" s="24" t="s">
        <v>1311</v>
      </c>
      <c r="D8" s="24" t="s">
        <v>1334</v>
      </c>
      <c r="E8" s="24" t="s">
        <v>1357</v>
      </c>
      <c r="F8" s="24" t="s">
        <v>1380</v>
      </c>
    </row>
    <row r="9" spans="1:6" x14ac:dyDescent="0.2">
      <c r="A9" s="24" t="s">
        <v>1266</v>
      </c>
      <c r="B9" s="24" t="s">
        <v>1289</v>
      </c>
      <c r="C9" s="24" t="s">
        <v>1312</v>
      </c>
      <c r="D9" s="24" t="s">
        <v>1335</v>
      </c>
      <c r="E9" s="24" t="s">
        <v>1358</v>
      </c>
      <c r="F9" s="24" t="s">
        <v>1381</v>
      </c>
    </row>
    <row r="10" spans="1:6" x14ac:dyDescent="0.2">
      <c r="A10" s="24" t="s">
        <v>1267</v>
      </c>
      <c r="B10" s="24" t="s">
        <v>1290</v>
      </c>
      <c r="C10" s="24" t="s">
        <v>1313</v>
      </c>
      <c r="D10" s="24" t="s">
        <v>1336</v>
      </c>
      <c r="E10" s="24" t="s">
        <v>1359</v>
      </c>
      <c r="F10" s="24" t="s">
        <v>1382</v>
      </c>
    </row>
    <row r="11" spans="1:6" x14ac:dyDescent="0.2">
      <c r="A11" s="24" t="s">
        <v>1268</v>
      </c>
      <c r="B11" s="24" t="s">
        <v>1291</v>
      </c>
      <c r="C11" s="24" t="s">
        <v>1314</v>
      </c>
      <c r="D11" s="24" t="s">
        <v>1337</v>
      </c>
      <c r="E11" s="24" t="s">
        <v>1360</v>
      </c>
      <c r="F11" s="24" t="s">
        <v>1383</v>
      </c>
    </row>
    <row r="12" spans="1:6" x14ac:dyDescent="0.2">
      <c r="A12" s="24" t="s">
        <v>1269</v>
      </c>
      <c r="B12" s="24" t="s">
        <v>1292</v>
      </c>
      <c r="C12" s="24" t="s">
        <v>1315</v>
      </c>
      <c r="D12" s="24" t="s">
        <v>1338</v>
      </c>
      <c r="E12" s="24" t="s">
        <v>1361</v>
      </c>
      <c r="F12" s="24" t="s">
        <v>1384</v>
      </c>
    </row>
    <row r="13" spans="1:6" x14ac:dyDescent="0.2">
      <c r="A13" s="24" t="s">
        <v>1270</v>
      </c>
      <c r="B13" s="24" t="s">
        <v>1293</v>
      </c>
      <c r="C13" s="24" t="s">
        <v>1316</v>
      </c>
      <c r="D13" s="24" t="s">
        <v>1339</v>
      </c>
      <c r="E13" s="24" t="s">
        <v>1362</v>
      </c>
      <c r="F13" s="24" t="s">
        <v>1385</v>
      </c>
    </row>
    <row r="14" spans="1:6" x14ac:dyDescent="0.2">
      <c r="A14" s="24" t="s">
        <v>1271</v>
      </c>
      <c r="B14" s="24" t="s">
        <v>1294</v>
      </c>
      <c r="C14" s="24" t="s">
        <v>1317</v>
      </c>
      <c r="D14" s="24" t="s">
        <v>1340</v>
      </c>
      <c r="E14" s="24" t="s">
        <v>1363</v>
      </c>
      <c r="F14" s="24" t="s">
        <v>1386</v>
      </c>
    </row>
    <row r="15" spans="1:6" x14ac:dyDescent="0.2">
      <c r="A15" s="24" t="s">
        <v>1272</v>
      </c>
      <c r="B15" s="24" t="s">
        <v>1295</v>
      </c>
      <c r="C15" s="24" t="s">
        <v>1318</v>
      </c>
      <c r="D15" s="24" t="s">
        <v>1341</v>
      </c>
      <c r="E15" s="24" t="s">
        <v>1364</v>
      </c>
      <c r="F15" s="24" t="s">
        <v>1387</v>
      </c>
    </row>
    <row r="16" spans="1:6" x14ac:dyDescent="0.2">
      <c r="A16" s="24" t="s">
        <v>1273</v>
      </c>
      <c r="B16" s="24" t="s">
        <v>1296</v>
      </c>
      <c r="C16" s="24" t="s">
        <v>1319</v>
      </c>
      <c r="D16" s="24" t="s">
        <v>1342</v>
      </c>
      <c r="E16" s="24" t="s">
        <v>1365</v>
      </c>
      <c r="F16" s="24" t="s">
        <v>1388</v>
      </c>
    </row>
    <row r="17" spans="1:6" x14ac:dyDescent="0.2">
      <c r="A17" s="24" t="s">
        <v>1274</v>
      </c>
      <c r="B17" s="24" t="s">
        <v>1297</v>
      </c>
      <c r="C17" s="24" t="s">
        <v>1320</v>
      </c>
      <c r="D17" s="24" t="s">
        <v>1343</v>
      </c>
      <c r="E17" s="24" t="s">
        <v>1366</v>
      </c>
      <c r="F17" s="24" t="s">
        <v>1389</v>
      </c>
    </row>
    <row r="18" spans="1:6" x14ac:dyDescent="0.2">
      <c r="A18" s="24" t="s">
        <v>1275</v>
      </c>
      <c r="B18" s="24" t="s">
        <v>1298</v>
      </c>
      <c r="C18" s="24" t="s">
        <v>1321</v>
      </c>
      <c r="D18" s="24" t="s">
        <v>1344</v>
      </c>
      <c r="E18" s="24" t="s">
        <v>1367</v>
      </c>
      <c r="F18" s="24" t="s">
        <v>1390</v>
      </c>
    </row>
    <row r="19" spans="1:6" x14ac:dyDescent="0.2">
      <c r="A19" s="24" t="s">
        <v>1276</v>
      </c>
      <c r="B19" s="24" t="s">
        <v>1299</v>
      </c>
      <c r="C19" s="24" t="s">
        <v>1322</v>
      </c>
      <c r="D19" s="24" t="s">
        <v>1345</v>
      </c>
      <c r="E19" s="24" t="s">
        <v>1368</v>
      </c>
      <c r="F19" s="24" t="s">
        <v>1391</v>
      </c>
    </row>
    <row r="20" spans="1:6" x14ac:dyDescent="0.2">
      <c r="A20" s="24" t="s">
        <v>1277</v>
      </c>
      <c r="B20" s="24" t="s">
        <v>1300</v>
      </c>
      <c r="C20" s="24" t="s">
        <v>1323</v>
      </c>
      <c r="D20" s="24" t="s">
        <v>1346</v>
      </c>
      <c r="E20" s="24" t="s">
        <v>1369</v>
      </c>
      <c r="F20" s="24" t="s">
        <v>1392</v>
      </c>
    </row>
    <row r="21" spans="1:6" x14ac:dyDescent="0.2">
      <c r="A21" s="24" t="s">
        <v>1278</v>
      </c>
      <c r="B21" s="24" t="s">
        <v>1301</v>
      </c>
      <c r="C21" s="24" t="s">
        <v>1324</v>
      </c>
      <c r="D21" s="24" t="s">
        <v>1347</v>
      </c>
      <c r="E21" s="24" t="s">
        <v>1370</v>
      </c>
      <c r="F21" s="24" t="s">
        <v>1393</v>
      </c>
    </row>
    <row r="22" spans="1:6" x14ac:dyDescent="0.2">
      <c r="A22" s="24" t="s">
        <v>1279</v>
      </c>
      <c r="B22" s="24" t="s">
        <v>1302</v>
      </c>
      <c r="C22" s="24" t="s">
        <v>1325</v>
      </c>
      <c r="D22" s="24" t="s">
        <v>1348</v>
      </c>
      <c r="E22" s="24" t="s">
        <v>1371</v>
      </c>
      <c r="F22" s="24" t="s">
        <v>1394</v>
      </c>
    </row>
    <row r="23" spans="1:6" x14ac:dyDescent="0.2">
      <c r="A23" s="24" t="s">
        <v>1280</v>
      </c>
      <c r="B23" s="24" t="s">
        <v>1303</v>
      </c>
      <c r="C23" s="24" t="s">
        <v>1326</v>
      </c>
      <c r="D23" s="24" t="s">
        <v>1349</v>
      </c>
      <c r="E23" s="24" t="s">
        <v>1372</v>
      </c>
      <c r="F23" s="24" t="s">
        <v>1395</v>
      </c>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0" tint="-0.34998626667073579"/>
  </sheetPr>
  <dimension ref="A1:H14"/>
  <sheetViews>
    <sheetView zoomScale="140" zoomScaleNormal="140" workbookViewId="0">
      <selection activeCell="B8" sqref="B8"/>
    </sheetView>
  </sheetViews>
  <sheetFormatPr baseColWidth="10" defaultColWidth="8.83203125" defaultRowHeight="15" x14ac:dyDescent="0.2"/>
  <cols>
    <col min="1" max="1" width="32" style="24" bestFit="1" customWidth="1"/>
    <col min="2" max="5" width="20.6640625" style="23" customWidth="1"/>
    <col min="6" max="7" width="20.6640625" style="24" customWidth="1"/>
    <col min="8" max="8" width="20.6640625" style="27" customWidth="1"/>
    <col min="9" max="16384" width="8.83203125" style="24"/>
  </cols>
  <sheetData>
    <row r="1" spans="1:8" x14ac:dyDescent="0.2">
      <c r="A1" s="24" t="s">
        <v>1396</v>
      </c>
      <c r="B1" s="23" t="s">
        <v>1410</v>
      </c>
      <c r="C1" s="23" t="s">
        <v>1424</v>
      </c>
      <c r="D1" s="23" t="s">
        <v>1438</v>
      </c>
      <c r="E1" s="23" t="s">
        <v>1452</v>
      </c>
      <c r="F1" s="24" t="s">
        <v>1466</v>
      </c>
      <c r="G1" s="24" t="s">
        <v>1480</v>
      </c>
      <c r="H1" s="27" t="s">
        <v>1494</v>
      </c>
    </row>
    <row r="2" spans="1:8" x14ac:dyDescent="0.2">
      <c r="A2" s="24" t="s">
        <v>1397</v>
      </c>
      <c r="B2" s="23" t="s">
        <v>1411</v>
      </c>
      <c r="C2" s="23" t="s">
        <v>1425</v>
      </c>
      <c r="D2" s="23" t="s">
        <v>1439</v>
      </c>
      <c r="E2" s="23" t="s">
        <v>1453</v>
      </c>
      <c r="F2" s="24" t="s">
        <v>1467</v>
      </c>
      <c r="G2" s="24" t="s">
        <v>1481</v>
      </c>
      <c r="H2" s="27" t="s">
        <v>1495</v>
      </c>
    </row>
    <row r="3" spans="1:8" x14ac:dyDescent="0.2">
      <c r="A3" s="24" t="s">
        <v>1398</v>
      </c>
      <c r="B3" s="23" t="s">
        <v>1412</v>
      </c>
      <c r="C3" s="23" t="s">
        <v>1426</v>
      </c>
      <c r="D3" s="23" t="s">
        <v>1440</v>
      </c>
      <c r="E3" s="23" t="s">
        <v>1454</v>
      </c>
      <c r="F3" s="24" t="s">
        <v>1468</v>
      </c>
      <c r="G3" s="24" t="s">
        <v>1482</v>
      </c>
      <c r="H3" s="27" t="s">
        <v>1496</v>
      </c>
    </row>
    <row r="4" spans="1:8" x14ac:dyDescent="0.2">
      <c r="A4" s="24" t="s">
        <v>1399</v>
      </c>
      <c r="B4" s="23" t="s">
        <v>1413</v>
      </c>
      <c r="C4" s="23" t="s">
        <v>1427</v>
      </c>
      <c r="D4" s="23" t="s">
        <v>1441</v>
      </c>
      <c r="E4" s="23" t="s">
        <v>1455</v>
      </c>
      <c r="F4" s="24" t="s">
        <v>1469</v>
      </c>
      <c r="G4" s="24" t="s">
        <v>1483</v>
      </c>
      <c r="H4" s="27" t="s">
        <v>1497</v>
      </c>
    </row>
    <row r="5" spans="1:8" x14ac:dyDescent="0.2">
      <c r="A5" s="24" t="s">
        <v>1400</v>
      </c>
      <c r="B5" s="23" t="s">
        <v>1414</v>
      </c>
      <c r="C5" s="23" t="s">
        <v>1428</v>
      </c>
      <c r="D5" s="23" t="s">
        <v>1442</v>
      </c>
      <c r="E5" s="23" t="s">
        <v>1456</v>
      </c>
      <c r="F5" s="24" t="s">
        <v>1470</v>
      </c>
      <c r="G5" s="24" t="s">
        <v>1484</v>
      </c>
      <c r="H5" s="27" t="s">
        <v>1498</v>
      </c>
    </row>
    <row r="6" spans="1:8" x14ac:dyDescent="0.2">
      <c r="A6" s="24" t="s">
        <v>1401</v>
      </c>
      <c r="B6" s="23" t="s">
        <v>1415</v>
      </c>
      <c r="C6" s="23" t="s">
        <v>1429</v>
      </c>
      <c r="D6" s="23" t="s">
        <v>1443</v>
      </c>
      <c r="E6" s="23" t="s">
        <v>1457</v>
      </c>
      <c r="F6" s="24" t="s">
        <v>1471</v>
      </c>
      <c r="G6" s="24" t="s">
        <v>1485</v>
      </c>
      <c r="H6" s="27" t="s">
        <v>1499</v>
      </c>
    </row>
    <row r="7" spans="1:8" x14ac:dyDescent="0.2">
      <c r="A7" s="24" t="s">
        <v>1402</v>
      </c>
      <c r="B7" s="23" t="s">
        <v>1416</v>
      </c>
      <c r="C7" s="23" t="s">
        <v>1430</v>
      </c>
      <c r="D7" s="23" t="s">
        <v>1444</v>
      </c>
      <c r="E7" s="23" t="s">
        <v>1458</v>
      </c>
      <c r="F7" s="24" t="s">
        <v>1472</v>
      </c>
      <c r="G7" s="24" t="s">
        <v>1486</v>
      </c>
      <c r="H7" s="27" t="s">
        <v>1500</v>
      </c>
    </row>
    <row r="8" spans="1:8" x14ac:dyDescent="0.2">
      <c r="A8" s="24" t="s">
        <v>1403</v>
      </c>
      <c r="B8" s="23" t="s">
        <v>1417</v>
      </c>
      <c r="C8" s="23" t="s">
        <v>1431</v>
      </c>
      <c r="D8" s="23" t="s">
        <v>1445</v>
      </c>
      <c r="E8" s="23" t="s">
        <v>1459</v>
      </c>
      <c r="F8" s="24" t="s">
        <v>1473</v>
      </c>
      <c r="G8" s="24" t="s">
        <v>1487</v>
      </c>
      <c r="H8" s="27" t="s">
        <v>1501</v>
      </c>
    </row>
    <row r="9" spans="1:8" x14ac:dyDescent="0.2">
      <c r="A9" s="24" t="s">
        <v>1404</v>
      </c>
      <c r="B9" s="23" t="s">
        <v>1418</v>
      </c>
      <c r="C9" s="23" t="s">
        <v>1432</v>
      </c>
      <c r="D9" s="23" t="s">
        <v>1446</v>
      </c>
      <c r="E9" s="23" t="s">
        <v>1460</v>
      </c>
      <c r="F9" s="24" t="s">
        <v>1474</v>
      </c>
      <c r="G9" s="24" t="s">
        <v>1488</v>
      </c>
      <c r="H9" s="27" t="s">
        <v>1502</v>
      </c>
    </row>
    <row r="10" spans="1:8" x14ac:dyDescent="0.2">
      <c r="A10" s="24" t="s">
        <v>1405</v>
      </c>
      <c r="B10" s="23" t="s">
        <v>1419</v>
      </c>
      <c r="C10" s="23" t="s">
        <v>1433</v>
      </c>
      <c r="D10" s="23" t="s">
        <v>1447</v>
      </c>
      <c r="E10" s="23" t="s">
        <v>1461</v>
      </c>
      <c r="F10" s="24" t="s">
        <v>1475</v>
      </c>
      <c r="G10" s="24" t="s">
        <v>1489</v>
      </c>
      <c r="H10" s="27" t="s">
        <v>1503</v>
      </c>
    </row>
    <row r="11" spans="1:8" x14ac:dyDescent="0.2">
      <c r="A11" s="24" t="s">
        <v>1406</v>
      </c>
      <c r="B11" s="23" t="s">
        <v>1420</v>
      </c>
      <c r="C11" s="23" t="s">
        <v>1434</v>
      </c>
      <c r="D11" s="23" t="s">
        <v>1448</v>
      </c>
      <c r="E11" s="23" t="s">
        <v>1462</v>
      </c>
      <c r="F11" s="24" t="s">
        <v>1476</v>
      </c>
      <c r="G11" s="24" t="s">
        <v>1490</v>
      </c>
      <c r="H11" s="27" t="s">
        <v>1504</v>
      </c>
    </row>
    <row r="12" spans="1:8" x14ac:dyDescent="0.2">
      <c r="A12" s="24" t="s">
        <v>1407</v>
      </c>
      <c r="B12" s="23" t="s">
        <v>1421</v>
      </c>
      <c r="C12" s="23" t="s">
        <v>1435</v>
      </c>
      <c r="D12" s="23" t="s">
        <v>1449</v>
      </c>
      <c r="E12" s="23" t="s">
        <v>1463</v>
      </c>
      <c r="F12" s="24" t="s">
        <v>1477</v>
      </c>
      <c r="G12" s="24" t="s">
        <v>1491</v>
      </c>
      <c r="H12" s="27" t="s">
        <v>1505</v>
      </c>
    </row>
    <row r="13" spans="1:8" x14ac:dyDescent="0.2">
      <c r="A13" s="24" t="s">
        <v>1408</v>
      </c>
      <c r="B13" s="23" t="s">
        <v>1422</v>
      </c>
      <c r="C13" s="23" t="s">
        <v>1436</v>
      </c>
      <c r="D13" s="23" t="s">
        <v>1450</v>
      </c>
      <c r="E13" s="23" t="s">
        <v>1464</v>
      </c>
      <c r="F13" s="24" t="s">
        <v>1478</v>
      </c>
      <c r="G13" s="24" t="s">
        <v>1492</v>
      </c>
      <c r="H13" s="27" t="s">
        <v>1506</v>
      </c>
    </row>
    <row r="14" spans="1:8" x14ac:dyDescent="0.2">
      <c r="A14" s="24" t="s">
        <v>1409</v>
      </c>
      <c r="B14" s="23" t="s">
        <v>1423</v>
      </c>
      <c r="C14" s="23" t="s">
        <v>1437</v>
      </c>
      <c r="D14" s="23" t="s">
        <v>1451</v>
      </c>
      <c r="E14" s="23" t="s">
        <v>1465</v>
      </c>
      <c r="F14" s="24" t="s">
        <v>1479</v>
      </c>
      <c r="G14" s="24" t="s">
        <v>1493</v>
      </c>
      <c r="H14" s="27" t="s">
        <v>1507</v>
      </c>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0" tint="-0.34998626667073579"/>
  </sheetPr>
  <dimension ref="A1:P24"/>
  <sheetViews>
    <sheetView zoomScale="85" zoomScaleNormal="85" workbookViewId="0">
      <selection activeCell="L13" sqref="L13"/>
    </sheetView>
  </sheetViews>
  <sheetFormatPr baseColWidth="10" defaultColWidth="8.83203125" defaultRowHeight="15" x14ac:dyDescent="0.2"/>
  <cols>
    <col min="1" max="1" width="19.33203125" style="24" customWidth="1"/>
    <col min="2" max="2" width="13.83203125" style="24" bestFit="1" customWidth="1"/>
    <col min="3" max="3" width="30.83203125" style="24" customWidth="1"/>
    <col min="4" max="4" width="16.1640625" style="24" bestFit="1" customWidth="1"/>
    <col min="5" max="7" width="8.83203125" style="24"/>
    <col min="8" max="8" width="15.33203125" style="24" bestFit="1" customWidth="1"/>
    <col min="9" max="9" width="9.83203125" style="24" bestFit="1" customWidth="1"/>
    <col min="10" max="16384" width="8.83203125" style="24"/>
  </cols>
  <sheetData>
    <row r="1" spans="1:16" x14ac:dyDescent="0.2">
      <c r="A1" s="24" t="s">
        <v>1508</v>
      </c>
      <c r="B1" s="24" t="s">
        <v>1532</v>
      </c>
      <c r="C1" s="24" t="s">
        <v>1556</v>
      </c>
      <c r="D1" s="24" t="s">
        <v>1580</v>
      </c>
      <c r="E1" s="24" t="s">
        <v>1604</v>
      </c>
      <c r="F1" s="24" t="s">
        <v>1628</v>
      </c>
      <c r="G1" s="24" t="s">
        <v>1652</v>
      </c>
      <c r="H1" s="24" t="s">
        <v>1676</v>
      </c>
      <c r="I1" s="24" t="s">
        <v>1700</v>
      </c>
      <c r="J1" s="24" t="s">
        <v>1724</v>
      </c>
      <c r="K1" s="24" t="s">
        <v>1748</v>
      </c>
      <c r="L1" s="24" t="s">
        <v>1772</v>
      </c>
      <c r="M1" s="24" t="s">
        <v>1796</v>
      </c>
      <c r="N1" s="24" t="s">
        <v>1820</v>
      </c>
      <c r="O1" s="24" t="s">
        <v>1844</v>
      </c>
      <c r="P1" s="24" t="s">
        <v>1868</v>
      </c>
    </row>
    <row r="2" spans="1:16" x14ac:dyDescent="0.2">
      <c r="A2" s="24" t="s">
        <v>1509</v>
      </c>
      <c r="B2" s="24" t="s">
        <v>1533</v>
      </c>
      <c r="C2" s="24" t="s">
        <v>1557</v>
      </c>
      <c r="D2" s="24" t="s">
        <v>1581</v>
      </c>
      <c r="E2" s="24" t="s">
        <v>1605</v>
      </c>
      <c r="F2" s="24" t="s">
        <v>1629</v>
      </c>
      <c r="G2" s="24" t="s">
        <v>1653</v>
      </c>
      <c r="H2" s="24" t="s">
        <v>1677</v>
      </c>
      <c r="I2" s="24" t="s">
        <v>1701</v>
      </c>
      <c r="J2" s="24" t="s">
        <v>1725</v>
      </c>
      <c r="K2" s="24" t="s">
        <v>1749</v>
      </c>
      <c r="L2" s="24" t="s">
        <v>1773</v>
      </c>
      <c r="M2" s="24" t="s">
        <v>1797</v>
      </c>
      <c r="N2" s="24" t="s">
        <v>1821</v>
      </c>
      <c r="O2" s="24" t="s">
        <v>1845</v>
      </c>
      <c r="P2" s="24" t="s">
        <v>1869</v>
      </c>
    </row>
    <row r="3" spans="1:16" x14ac:dyDescent="0.2">
      <c r="A3" s="24" t="s">
        <v>1510</v>
      </c>
      <c r="B3" s="24" t="s">
        <v>1534</v>
      </c>
      <c r="C3" s="24" t="s">
        <v>1558</v>
      </c>
      <c r="D3" s="24" t="s">
        <v>1582</v>
      </c>
      <c r="E3" s="24" t="s">
        <v>1606</v>
      </c>
      <c r="F3" s="24" t="s">
        <v>1630</v>
      </c>
      <c r="G3" s="24" t="s">
        <v>1654</v>
      </c>
      <c r="H3" s="24" t="s">
        <v>1678</v>
      </c>
      <c r="I3" s="24" t="s">
        <v>1702</v>
      </c>
      <c r="J3" s="24" t="s">
        <v>1726</v>
      </c>
      <c r="K3" s="24" t="s">
        <v>1750</v>
      </c>
      <c r="L3" s="24" t="s">
        <v>1774</v>
      </c>
      <c r="M3" s="24" t="s">
        <v>1798</v>
      </c>
      <c r="N3" s="24" t="s">
        <v>1822</v>
      </c>
      <c r="O3" s="24" t="s">
        <v>1846</v>
      </c>
      <c r="P3" s="24" t="s">
        <v>1870</v>
      </c>
    </row>
    <row r="4" spans="1:16" x14ac:dyDescent="0.2">
      <c r="A4" s="24" t="s">
        <v>1511</v>
      </c>
      <c r="B4" s="24" t="s">
        <v>1535</v>
      </c>
      <c r="C4" s="24" t="s">
        <v>1559</v>
      </c>
      <c r="D4" s="24" t="s">
        <v>1583</v>
      </c>
      <c r="E4" s="24" t="s">
        <v>1607</v>
      </c>
      <c r="F4" s="24" t="s">
        <v>1631</v>
      </c>
      <c r="G4" s="24" t="s">
        <v>1655</v>
      </c>
      <c r="H4" s="24" t="s">
        <v>1679</v>
      </c>
      <c r="I4" s="24" t="s">
        <v>1703</v>
      </c>
      <c r="J4" s="24" t="s">
        <v>1727</v>
      </c>
      <c r="K4" s="24" t="s">
        <v>1751</v>
      </c>
      <c r="L4" s="24" t="s">
        <v>1775</v>
      </c>
      <c r="M4" s="24" t="s">
        <v>1799</v>
      </c>
      <c r="N4" s="24" t="s">
        <v>1823</v>
      </c>
      <c r="O4" s="24" t="s">
        <v>1847</v>
      </c>
      <c r="P4" s="24" t="s">
        <v>1871</v>
      </c>
    </row>
    <row r="5" spans="1:16" x14ac:dyDescent="0.2">
      <c r="A5" s="24" t="s">
        <v>1512</v>
      </c>
      <c r="B5" s="24" t="s">
        <v>1536</v>
      </c>
      <c r="C5" s="24" t="s">
        <v>1560</v>
      </c>
      <c r="D5" s="24" t="s">
        <v>1584</v>
      </c>
      <c r="E5" s="24" t="s">
        <v>1608</v>
      </c>
      <c r="F5" s="24" t="s">
        <v>1632</v>
      </c>
      <c r="G5" s="24" t="s">
        <v>1656</v>
      </c>
      <c r="H5" s="24" t="s">
        <v>1680</v>
      </c>
      <c r="I5" s="24" t="s">
        <v>1704</v>
      </c>
      <c r="J5" s="24" t="s">
        <v>1728</v>
      </c>
      <c r="K5" s="24" t="s">
        <v>1752</v>
      </c>
      <c r="L5" s="24" t="s">
        <v>1776</v>
      </c>
      <c r="M5" s="24" t="s">
        <v>1800</v>
      </c>
      <c r="N5" s="24" t="s">
        <v>1824</v>
      </c>
      <c r="O5" s="24" t="s">
        <v>1848</v>
      </c>
      <c r="P5" s="24" t="s">
        <v>1872</v>
      </c>
    </row>
    <row r="6" spans="1:16" x14ac:dyDescent="0.2">
      <c r="A6" s="24" t="s">
        <v>1513</v>
      </c>
      <c r="B6" s="24" t="s">
        <v>1537</v>
      </c>
      <c r="C6" s="24" t="s">
        <v>1561</v>
      </c>
      <c r="D6" s="24" t="s">
        <v>1585</v>
      </c>
      <c r="E6" s="24" t="s">
        <v>1609</v>
      </c>
      <c r="F6" s="24" t="s">
        <v>1633</v>
      </c>
      <c r="G6" s="24" t="s">
        <v>1657</v>
      </c>
      <c r="H6" s="24" t="s">
        <v>1681</v>
      </c>
      <c r="I6" s="24" t="s">
        <v>1705</v>
      </c>
      <c r="J6" s="24" t="s">
        <v>1729</v>
      </c>
      <c r="K6" s="24" t="s">
        <v>1753</v>
      </c>
      <c r="L6" s="24" t="s">
        <v>1777</v>
      </c>
      <c r="M6" s="24" t="s">
        <v>1801</v>
      </c>
      <c r="N6" s="24" t="s">
        <v>1825</v>
      </c>
      <c r="O6" s="24" t="s">
        <v>1849</v>
      </c>
      <c r="P6" s="24" t="s">
        <v>1873</v>
      </c>
    </row>
    <row r="7" spans="1:16" x14ac:dyDescent="0.2">
      <c r="A7" s="24" t="s">
        <v>1514</v>
      </c>
      <c r="B7" s="24" t="s">
        <v>1538</v>
      </c>
      <c r="C7" s="24" t="s">
        <v>1562</v>
      </c>
      <c r="D7" s="24" t="s">
        <v>1586</v>
      </c>
      <c r="E7" s="24" t="s">
        <v>1610</v>
      </c>
      <c r="F7" s="24" t="s">
        <v>1634</v>
      </c>
      <c r="G7" s="24" t="s">
        <v>1658</v>
      </c>
      <c r="H7" s="24" t="s">
        <v>1682</v>
      </c>
      <c r="I7" s="24" t="s">
        <v>1706</v>
      </c>
      <c r="J7" s="24" t="s">
        <v>1730</v>
      </c>
      <c r="K7" s="24" t="s">
        <v>1754</v>
      </c>
      <c r="L7" s="24" t="s">
        <v>1778</v>
      </c>
      <c r="M7" s="24" t="s">
        <v>1802</v>
      </c>
      <c r="N7" s="24" t="s">
        <v>1826</v>
      </c>
      <c r="O7" s="24" t="s">
        <v>1850</v>
      </c>
      <c r="P7" s="24" t="s">
        <v>1874</v>
      </c>
    </row>
    <row r="8" spans="1:16" x14ac:dyDescent="0.2">
      <c r="A8" s="24" t="s">
        <v>1515</v>
      </c>
      <c r="B8" s="24" t="s">
        <v>1539</v>
      </c>
      <c r="C8" s="24" t="s">
        <v>1563</v>
      </c>
      <c r="D8" s="24" t="s">
        <v>1587</v>
      </c>
      <c r="E8" s="24" t="s">
        <v>1611</v>
      </c>
      <c r="F8" s="24" t="s">
        <v>1635</v>
      </c>
      <c r="G8" s="24" t="s">
        <v>1659</v>
      </c>
      <c r="H8" s="24" t="s">
        <v>1683</v>
      </c>
      <c r="I8" s="24" t="s">
        <v>1707</v>
      </c>
      <c r="J8" s="24" t="s">
        <v>1731</v>
      </c>
      <c r="K8" s="24" t="s">
        <v>1755</v>
      </c>
      <c r="L8" s="24" t="s">
        <v>1779</v>
      </c>
      <c r="M8" s="24" t="s">
        <v>1803</v>
      </c>
      <c r="N8" s="24" t="s">
        <v>1827</v>
      </c>
      <c r="O8" s="24" t="s">
        <v>1851</v>
      </c>
      <c r="P8" s="24" t="s">
        <v>1875</v>
      </c>
    </row>
    <row r="9" spans="1:16" x14ac:dyDescent="0.2">
      <c r="A9" s="24" t="s">
        <v>1516</v>
      </c>
      <c r="B9" s="24" t="s">
        <v>1540</v>
      </c>
      <c r="C9" s="24" t="s">
        <v>1564</v>
      </c>
      <c r="D9" s="24" t="s">
        <v>1588</v>
      </c>
      <c r="E9" s="24" t="s">
        <v>1612</v>
      </c>
      <c r="F9" s="24" t="s">
        <v>1636</v>
      </c>
      <c r="G9" s="24" t="s">
        <v>1660</v>
      </c>
      <c r="H9" s="24" t="s">
        <v>1684</v>
      </c>
      <c r="I9" s="24" t="s">
        <v>1708</v>
      </c>
      <c r="J9" s="24" t="s">
        <v>1732</v>
      </c>
      <c r="K9" s="24" t="s">
        <v>1756</v>
      </c>
      <c r="L9" s="24" t="s">
        <v>1780</v>
      </c>
      <c r="M9" s="24" t="s">
        <v>1804</v>
      </c>
      <c r="N9" s="24" t="s">
        <v>1828</v>
      </c>
      <c r="O9" s="24" t="s">
        <v>1852</v>
      </c>
      <c r="P9" s="24" t="s">
        <v>1876</v>
      </c>
    </row>
    <row r="10" spans="1:16" x14ac:dyDescent="0.2">
      <c r="A10" s="24" t="s">
        <v>1517</v>
      </c>
      <c r="B10" s="24" t="s">
        <v>1541</v>
      </c>
      <c r="C10" s="24" t="s">
        <v>1565</v>
      </c>
      <c r="D10" s="24" t="s">
        <v>1589</v>
      </c>
      <c r="E10" s="24" t="s">
        <v>1613</v>
      </c>
      <c r="F10" s="24" t="s">
        <v>1637</v>
      </c>
      <c r="G10" s="24" t="s">
        <v>1661</v>
      </c>
      <c r="H10" s="24" t="s">
        <v>1685</v>
      </c>
      <c r="I10" s="24" t="s">
        <v>1709</v>
      </c>
      <c r="J10" s="24" t="s">
        <v>1733</v>
      </c>
      <c r="K10" s="24" t="s">
        <v>1757</v>
      </c>
      <c r="L10" s="24" t="s">
        <v>1781</v>
      </c>
      <c r="M10" s="24" t="s">
        <v>1805</v>
      </c>
      <c r="N10" s="24" t="s">
        <v>1829</v>
      </c>
      <c r="O10" s="24" t="s">
        <v>1853</v>
      </c>
      <c r="P10" s="24" t="s">
        <v>1877</v>
      </c>
    </row>
    <row r="11" spans="1:16" x14ac:dyDescent="0.2">
      <c r="A11" s="24" t="s">
        <v>1518</v>
      </c>
      <c r="B11" s="24" t="s">
        <v>1542</v>
      </c>
      <c r="C11" s="24" t="s">
        <v>1566</v>
      </c>
      <c r="D11" s="24" t="s">
        <v>1590</v>
      </c>
      <c r="E11" s="24" t="s">
        <v>1614</v>
      </c>
      <c r="F11" s="24" t="s">
        <v>1638</v>
      </c>
      <c r="G11" s="24" t="s">
        <v>1662</v>
      </c>
      <c r="H11" s="24" t="s">
        <v>1686</v>
      </c>
      <c r="I11" s="24" t="s">
        <v>1710</v>
      </c>
      <c r="J11" s="24" t="s">
        <v>1734</v>
      </c>
      <c r="K11" s="24" t="s">
        <v>1758</v>
      </c>
      <c r="L11" s="24" t="s">
        <v>1782</v>
      </c>
      <c r="M11" s="24" t="s">
        <v>1806</v>
      </c>
      <c r="N11" s="24" t="s">
        <v>1830</v>
      </c>
      <c r="O11" s="24" t="s">
        <v>1854</v>
      </c>
      <c r="P11" s="24" t="s">
        <v>1878</v>
      </c>
    </row>
    <row r="12" spans="1:16" x14ac:dyDescent="0.2">
      <c r="A12" s="24" t="s">
        <v>1519</v>
      </c>
      <c r="B12" s="24" t="s">
        <v>1543</v>
      </c>
      <c r="C12" s="24" t="s">
        <v>1567</v>
      </c>
      <c r="D12" s="24" t="s">
        <v>1591</v>
      </c>
      <c r="E12" s="24" t="s">
        <v>1615</v>
      </c>
      <c r="F12" s="24" t="s">
        <v>1639</v>
      </c>
      <c r="G12" s="24" t="s">
        <v>1663</v>
      </c>
      <c r="H12" s="24" t="s">
        <v>1687</v>
      </c>
      <c r="I12" s="24" t="s">
        <v>1711</v>
      </c>
      <c r="J12" s="24" t="s">
        <v>1735</v>
      </c>
      <c r="K12" s="24" t="s">
        <v>1759</v>
      </c>
      <c r="L12" s="24" t="s">
        <v>1783</v>
      </c>
      <c r="M12" s="24" t="s">
        <v>1807</v>
      </c>
      <c r="N12" s="24" t="s">
        <v>1831</v>
      </c>
      <c r="O12" s="24" t="s">
        <v>1855</v>
      </c>
      <c r="P12" s="24" t="s">
        <v>1879</v>
      </c>
    </row>
    <row r="13" spans="1:16" x14ac:dyDescent="0.2">
      <c r="A13" s="24" t="s">
        <v>1520</v>
      </c>
      <c r="B13" s="24" t="s">
        <v>1544</v>
      </c>
      <c r="C13" s="24" t="s">
        <v>1568</v>
      </c>
      <c r="D13" s="24" t="s">
        <v>1592</v>
      </c>
      <c r="E13" s="24" t="s">
        <v>1616</v>
      </c>
      <c r="F13" s="24" t="s">
        <v>1640</v>
      </c>
      <c r="G13" s="24" t="s">
        <v>1664</v>
      </c>
      <c r="H13" s="24" t="s">
        <v>1688</v>
      </c>
      <c r="I13" s="24" t="s">
        <v>1712</v>
      </c>
      <c r="J13" s="24" t="s">
        <v>1736</v>
      </c>
      <c r="K13" s="24" t="s">
        <v>1760</v>
      </c>
      <c r="L13" s="24" t="s">
        <v>1784</v>
      </c>
      <c r="M13" s="24" t="s">
        <v>1808</v>
      </c>
      <c r="N13" s="24" t="s">
        <v>1832</v>
      </c>
      <c r="O13" s="24" t="s">
        <v>1856</v>
      </c>
      <c r="P13" s="24" t="s">
        <v>1880</v>
      </c>
    </row>
    <row r="14" spans="1:16" x14ac:dyDescent="0.2">
      <c r="A14" s="24" t="s">
        <v>1521</v>
      </c>
      <c r="B14" s="24" t="s">
        <v>1545</v>
      </c>
      <c r="C14" s="24" t="s">
        <v>1569</v>
      </c>
      <c r="D14" s="24" t="s">
        <v>1593</v>
      </c>
      <c r="E14" s="24" t="s">
        <v>1617</v>
      </c>
      <c r="F14" s="24" t="s">
        <v>1641</v>
      </c>
      <c r="G14" s="24" t="s">
        <v>1665</v>
      </c>
      <c r="H14" s="24" t="s">
        <v>1689</v>
      </c>
      <c r="I14" s="24" t="s">
        <v>1713</v>
      </c>
      <c r="J14" s="24" t="s">
        <v>1737</v>
      </c>
      <c r="K14" s="24" t="s">
        <v>1761</v>
      </c>
      <c r="L14" s="24" t="s">
        <v>1785</v>
      </c>
      <c r="M14" s="24" t="s">
        <v>1809</v>
      </c>
      <c r="N14" s="24" t="s">
        <v>1833</v>
      </c>
      <c r="O14" s="24" t="s">
        <v>1857</v>
      </c>
      <c r="P14" s="24" t="s">
        <v>1881</v>
      </c>
    </row>
    <row r="15" spans="1:16" x14ac:dyDescent="0.2">
      <c r="A15" s="24" t="s">
        <v>1522</v>
      </c>
      <c r="B15" s="24" t="s">
        <v>1546</v>
      </c>
      <c r="C15" s="24" t="s">
        <v>1570</v>
      </c>
      <c r="D15" s="24" t="s">
        <v>1594</v>
      </c>
      <c r="E15" s="24" t="s">
        <v>1618</v>
      </c>
      <c r="F15" s="24" t="s">
        <v>1642</v>
      </c>
      <c r="G15" s="24" t="s">
        <v>1666</v>
      </c>
      <c r="H15" s="24" t="s">
        <v>1690</v>
      </c>
      <c r="I15" s="24" t="s">
        <v>1714</v>
      </c>
      <c r="J15" s="24" t="s">
        <v>1738</v>
      </c>
      <c r="K15" s="24" t="s">
        <v>1762</v>
      </c>
      <c r="L15" s="24" t="s">
        <v>1786</v>
      </c>
      <c r="M15" s="24" t="s">
        <v>1810</v>
      </c>
      <c r="N15" s="24" t="s">
        <v>1834</v>
      </c>
      <c r="O15" s="24" t="s">
        <v>1858</v>
      </c>
      <c r="P15" s="24" t="s">
        <v>1882</v>
      </c>
    </row>
    <row r="16" spans="1:16" x14ac:dyDescent="0.2">
      <c r="A16" s="24" t="s">
        <v>1523</v>
      </c>
      <c r="B16" s="24" t="s">
        <v>1547</v>
      </c>
      <c r="C16" s="24" t="s">
        <v>1571</v>
      </c>
      <c r="D16" s="24" t="s">
        <v>1595</v>
      </c>
      <c r="E16" s="24" t="s">
        <v>1619</v>
      </c>
      <c r="F16" s="24" t="s">
        <v>1643</v>
      </c>
      <c r="G16" s="24" t="s">
        <v>1667</v>
      </c>
      <c r="H16" s="24" t="s">
        <v>1691</v>
      </c>
      <c r="I16" s="24" t="s">
        <v>1715</v>
      </c>
      <c r="J16" s="24" t="s">
        <v>1739</v>
      </c>
      <c r="K16" s="24" t="s">
        <v>1763</v>
      </c>
      <c r="L16" s="24" t="s">
        <v>1787</v>
      </c>
      <c r="M16" s="24" t="s">
        <v>1811</v>
      </c>
      <c r="N16" s="24" t="s">
        <v>1835</v>
      </c>
      <c r="O16" s="24" t="s">
        <v>1859</v>
      </c>
      <c r="P16" s="24" t="s">
        <v>1883</v>
      </c>
    </row>
    <row r="17" spans="1:16" x14ac:dyDescent="0.2">
      <c r="A17" s="24" t="s">
        <v>1524</v>
      </c>
      <c r="B17" s="24" t="s">
        <v>1548</v>
      </c>
      <c r="C17" s="24" t="s">
        <v>1572</v>
      </c>
      <c r="D17" s="24" t="s">
        <v>1596</v>
      </c>
      <c r="E17" s="24" t="s">
        <v>1620</v>
      </c>
      <c r="F17" s="24" t="s">
        <v>1644</v>
      </c>
      <c r="G17" s="24" t="s">
        <v>1668</v>
      </c>
      <c r="H17" s="24" t="s">
        <v>1692</v>
      </c>
      <c r="I17" s="24" t="s">
        <v>1716</v>
      </c>
      <c r="J17" s="24" t="s">
        <v>1740</v>
      </c>
      <c r="K17" s="24" t="s">
        <v>1764</v>
      </c>
      <c r="L17" s="24" t="s">
        <v>1788</v>
      </c>
      <c r="M17" s="24" t="s">
        <v>1812</v>
      </c>
      <c r="N17" s="24" t="s">
        <v>1836</v>
      </c>
      <c r="O17" s="24" t="s">
        <v>1860</v>
      </c>
      <c r="P17" s="24" t="s">
        <v>1884</v>
      </c>
    </row>
    <row r="18" spans="1:16" x14ac:dyDescent="0.2">
      <c r="A18" s="24" t="s">
        <v>1525</v>
      </c>
      <c r="B18" s="24" t="s">
        <v>1549</v>
      </c>
      <c r="C18" s="24" t="s">
        <v>1573</v>
      </c>
      <c r="D18" s="24" t="s">
        <v>1597</v>
      </c>
      <c r="E18" s="24" t="s">
        <v>1621</v>
      </c>
      <c r="F18" s="24" t="s">
        <v>1645</v>
      </c>
      <c r="G18" s="24" t="s">
        <v>1669</v>
      </c>
      <c r="H18" s="24" t="s">
        <v>1693</v>
      </c>
      <c r="I18" s="24" t="s">
        <v>1717</v>
      </c>
      <c r="J18" s="24" t="s">
        <v>1741</v>
      </c>
      <c r="K18" s="24" t="s">
        <v>1765</v>
      </c>
      <c r="L18" s="24" t="s">
        <v>1789</v>
      </c>
      <c r="M18" s="24" t="s">
        <v>1813</v>
      </c>
      <c r="N18" s="24" t="s">
        <v>1837</v>
      </c>
      <c r="O18" s="24" t="s">
        <v>1861</v>
      </c>
      <c r="P18" s="24" t="s">
        <v>1885</v>
      </c>
    </row>
    <row r="19" spans="1:16" x14ac:dyDescent="0.2">
      <c r="A19" s="24" t="s">
        <v>1526</v>
      </c>
      <c r="B19" s="24" t="s">
        <v>1550</v>
      </c>
      <c r="C19" s="24" t="s">
        <v>1574</v>
      </c>
      <c r="D19" s="24" t="s">
        <v>1598</v>
      </c>
      <c r="E19" s="24" t="s">
        <v>1622</v>
      </c>
      <c r="F19" s="24" t="s">
        <v>1646</v>
      </c>
      <c r="G19" s="24" t="s">
        <v>1670</v>
      </c>
      <c r="H19" s="24" t="s">
        <v>1694</v>
      </c>
      <c r="I19" s="24" t="s">
        <v>1718</v>
      </c>
      <c r="J19" s="24" t="s">
        <v>1742</v>
      </c>
      <c r="K19" s="24" t="s">
        <v>1766</v>
      </c>
      <c r="L19" s="24" t="s">
        <v>1790</v>
      </c>
      <c r="M19" s="24" t="s">
        <v>1814</v>
      </c>
      <c r="N19" s="24" t="s">
        <v>1838</v>
      </c>
      <c r="O19" s="24" t="s">
        <v>1862</v>
      </c>
      <c r="P19" s="24" t="s">
        <v>1886</v>
      </c>
    </row>
    <row r="20" spans="1:16" x14ac:dyDescent="0.2">
      <c r="A20" s="24" t="s">
        <v>1527</v>
      </c>
      <c r="B20" s="24" t="s">
        <v>1551</v>
      </c>
      <c r="C20" s="24" t="s">
        <v>1575</v>
      </c>
      <c r="D20" s="24" t="s">
        <v>1599</v>
      </c>
      <c r="E20" s="24" t="s">
        <v>1623</v>
      </c>
      <c r="F20" s="24" t="s">
        <v>1647</v>
      </c>
      <c r="G20" s="24" t="s">
        <v>1671</v>
      </c>
      <c r="H20" s="24" t="s">
        <v>1695</v>
      </c>
      <c r="I20" s="24" t="s">
        <v>1719</v>
      </c>
      <c r="J20" s="24" t="s">
        <v>1743</v>
      </c>
      <c r="K20" s="24" t="s">
        <v>1767</v>
      </c>
      <c r="L20" s="24" t="s">
        <v>1791</v>
      </c>
      <c r="M20" s="24" t="s">
        <v>1815</v>
      </c>
      <c r="N20" s="24" t="s">
        <v>1839</v>
      </c>
      <c r="O20" s="24" t="s">
        <v>1863</v>
      </c>
      <c r="P20" s="24" t="s">
        <v>1887</v>
      </c>
    </row>
    <row r="21" spans="1:16" x14ac:dyDescent="0.2">
      <c r="A21" s="24" t="s">
        <v>1528</v>
      </c>
      <c r="B21" s="24" t="s">
        <v>1552</v>
      </c>
      <c r="C21" s="24" t="s">
        <v>1576</v>
      </c>
      <c r="D21" s="24" t="s">
        <v>1600</v>
      </c>
      <c r="E21" s="24" t="s">
        <v>1624</v>
      </c>
      <c r="F21" s="24" t="s">
        <v>1648</v>
      </c>
      <c r="G21" s="24" t="s">
        <v>1672</v>
      </c>
      <c r="H21" s="24" t="s">
        <v>1696</v>
      </c>
      <c r="I21" s="24" t="s">
        <v>1720</v>
      </c>
      <c r="J21" s="24" t="s">
        <v>1744</v>
      </c>
      <c r="K21" s="24" t="s">
        <v>1768</v>
      </c>
      <c r="L21" s="24" t="s">
        <v>1792</v>
      </c>
      <c r="M21" s="24" t="s">
        <v>1816</v>
      </c>
      <c r="N21" s="24" t="s">
        <v>1840</v>
      </c>
      <c r="O21" s="24" t="s">
        <v>1864</v>
      </c>
      <c r="P21" s="24" t="s">
        <v>1888</v>
      </c>
    </row>
    <row r="22" spans="1:16" x14ac:dyDescent="0.2">
      <c r="A22" s="24" t="s">
        <v>1529</v>
      </c>
      <c r="B22" s="24" t="s">
        <v>1553</v>
      </c>
      <c r="C22" s="24" t="s">
        <v>1577</v>
      </c>
      <c r="D22" s="24" t="s">
        <v>1601</v>
      </c>
      <c r="E22" s="24" t="s">
        <v>1625</v>
      </c>
      <c r="F22" s="24" t="s">
        <v>1649</v>
      </c>
      <c r="G22" s="24" t="s">
        <v>1673</v>
      </c>
      <c r="H22" s="24" t="s">
        <v>1697</v>
      </c>
      <c r="I22" s="24" t="s">
        <v>1721</v>
      </c>
      <c r="J22" s="24" t="s">
        <v>1745</v>
      </c>
      <c r="K22" s="24" t="s">
        <v>1769</v>
      </c>
      <c r="L22" s="24" t="s">
        <v>1793</v>
      </c>
      <c r="M22" s="24" t="s">
        <v>1817</v>
      </c>
      <c r="N22" s="24" t="s">
        <v>1841</v>
      </c>
      <c r="O22" s="24" t="s">
        <v>1865</v>
      </c>
      <c r="P22" s="24" t="s">
        <v>1889</v>
      </c>
    </row>
    <row r="23" spans="1:16" x14ac:dyDescent="0.2">
      <c r="A23" s="24" t="s">
        <v>1530</v>
      </c>
      <c r="B23" s="24" t="s">
        <v>1554</v>
      </c>
      <c r="C23" s="24" t="s">
        <v>1578</v>
      </c>
      <c r="D23" s="24" t="s">
        <v>1602</v>
      </c>
      <c r="E23" s="24" t="s">
        <v>1626</v>
      </c>
      <c r="F23" s="24" t="s">
        <v>1650</v>
      </c>
      <c r="G23" s="24" t="s">
        <v>1674</v>
      </c>
      <c r="H23" s="24" t="s">
        <v>1698</v>
      </c>
      <c r="I23" s="24" t="s">
        <v>1722</v>
      </c>
      <c r="J23" s="24" t="s">
        <v>1746</v>
      </c>
      <c r="K23" s="24" t="s">
        <v>1770</v>
      </c>
      <c r="L23" s="24" t="s">
        <v>1794</v>
      </c>
      <c r="M23" s="24" t="s">
        <v>1818</v>
      </c>
      <c r="N23" s="24" t="s">
        <v>1842</v>
      </c>
      <c r="O23" s="24" t="s">
        <v>1866</v>
      </c>
      <c r="P23" s="24" t="s">
        <v>1890</v>
      </c>
    </row>
    <row r="24" spans="1:16" x14ac:dyDescent="0.2">
      <c r="A24" s="24" t="s">
        <v>1531</v>
      </c>
      <c r="B24" s="24" t="s">
        <v>1555</v>
      </c>
      <c r="C24" s="24" t="s">
        <v>1579</v>
      </c>
      <c r="D24" s="24" t="s">
        <v>1603</v>
      </c>
      <c r="E24" s="24" t="s">
        <v>1627</v>
      </c>
      <c r="F24" s="24" t="s">
        <v>1651</v>
      </c>
      <c r="G24" s="24" t="s">
        <v>1675</v>
      </c>
      <c r="H24" s="24" t="s">
        <v>1699</v>
      </c>
      <c r="I24" s="24" t="s">
        <v>1723</v>
      </c>
      <c r="J24" s="24" t="s">
        <v>1747</v>
      </c>
      <c r="K24" s="24" t="s">
        <v>1771</v>
      </c>
      <c r="L24" s="24" t="s">
        <v>1795</v>
      </c>
      <c r="M24" s="24" t="s">
        <v>1819</v>
      </c>
      <c r="N24" s="24" t="s">
        <v>1843</v>
      </c>
      <c r="O24" s="24" t="s">
        <v>1867</v>
      </c>
      <c r="P24" s="24" t="s">
        <v>1891</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0" tint="-0.34998626667073579"/>
  </sheetPr>
  <dimension ref="A1:G11"/>
  <sheetViews>
    <sheetView zoomScale="70" zoomScaleNormal="70" workbookViewId="0"/>
  </sheetViews>
  <sheetFormatPr baseColWidth="10" defaultColWidth="8.83203125" defaultRowHeight="15" x14ac:dyDescent="0.2"/>
  <cols>
    <col min="1" max="1" width="29.6640625" style="24" customWidth="1"/>
    <col min="2" max="16384" width="8.83203125" style="24"/>
  </cols>
  <sheetData>
    <row r="1" spans="1:7" x14ac:dyDescent="0.2">
      <c r="A1" s="24" t="s">
        <v>1892</v>
      </c>
      <c r="B1" s="24" t="s">
        <v>1903</v>
      </c>
      <c r="C1" s="24" t="s">
        <v>1914</v>
      </c>
      <c r="D1" s="24" t="s">
        <v>1925</v>
      </c>
      <c r="E1" s="24" t="s">
        <v>1936</v>
      </c>
      <c r="F1" s="24" t="s">
        <v>1947</v>
      </c>
      <c r="G1" s="24" t="s">
        <v>1958</v>
      </c>
    </row>
    <row r="2" spans="1:7" x14ac:dyDescent="0.2">
      <c r="A2" s="24" t="s">
        <v>1893</v>
      </c>
      <c r="B2" s="24" t="s">
        <v>1904</v>
      </c>
      <c r="C2" s="24" t="s">
        <v>1915</v>
      </c>
      <c r="D2" s="24" t="s">
        <v>1926</v>
      </c>
      <c r="E2" s="24" t="s">
        <v>1937</v>
      </c>
      <c r="F2" s="24" t="s">
        <v>1948</v>
      </c>
      <c r="G2" s="24" t="s">
        <v>1959</v>
      </c>
    </row>
    <row r="3" spans="1:7" x14ac:dyDescent="0.2">
      <c r="A3" s="24" t="s">
        <v>1894</v>
      </c>
      <c r="B3" s="24" t="s">
        <v>1905</v>
      </c>
      <c r="C3" s="24" t="s">
        <v>1916</v>
      </c>
      <c r="D3" s="24" t="s">
        <v>1927</v>
      </c>
      <c r="E3" s="24" t="s">
        <v>1938</v>
      </c>
      <c r="F3" s="24" t="s">
        <v>1949</v>
      </c>
      <c r="G3" s="24" t="s">
        <v>1960</v>
      </c>
    </row>
    <row r="4" spans="1:7" x14ac:dyDescent="0.2">
      <c r="A4" s="24" t="s">
        <v>1895</v>
      </c>
      <c r="B4" s="24" t="s">
        <v>1906</v>
      </c>
      <c r="C4" s="24" t="s">
        <v>1917</v>
      </c>
      <c r="D4" s="24" t="s">
        <v>1928</v>
      </c>
      <c r="E4" s="24" t="s">
        <v>1939</v>
      </c>
      <c r="F4" s="24" t="s">
        <v>1950</v>
      </c>
      <c r="G4" s="24" t="s">
        <v>1961</v>
      </c>
    </row>
    <row r="5" spans="1:7" x14ac:dyDescent="0.2">
      <c r="A5" s="24" t="s">
        <v>1896</v>
      </c>
      <c r="B5" s="24" t="s">
        <v>1907</v>
      </c>
      <c r="C5" s="24" t="s">
        <v>1918</v>
      </c>
      <c r="D5" s="24" t="s">
        <v>1929</v>
      </c>
      <c r="E5" s="24" t="s">
        <v>1940</v>
      </c>
      <c r="F5" s="24" t="s">
        <v>1951</v>
      </c>
      <c r="G5" s="24" t="s">
        <v>1962</v>
      </c>
    </row>
    <row r="6" spans="1:7" x14ac:dyDescent="0.2">
      <c r="A6" s="24" t="s">
        <v>1897</v>
      </c>
      <c r="B6" s="24" t="s">
        <v>1908</v>
      </c>
      <c r="C6" s="24" t="s">
        <v>1919</v>
      </c>
      <c r="D6" s="24" t="s">
        <v>1930</v>
      </c>
      <c r="E6" s="24" t="s">
        <v>1941</v>
      </c>
      <c r="F6" s="24" t="s">
        <v>1952</v>
      </c>
      <c r="G6" s="24" t="s">
        <v>1963</v>
      </c>
    </row>
    <row r="7" spans="1:7" x14ac:dyDescent="0.2">
      <c r="A7" s="24" t="s">
        <v>1898</v>
      </c>
      <c r="B7" s="24" t="s">
        <v>1909</v>
      </c>
      <c r="C7" s="24" t="s">
        <v>1920</v>
      </c>
      <c r="D7" s="24" t="s">
        <v>1931</v>
      </c>
      <c r="E7" s="24" t="s">
        <v>1942</v>
      </c>
      <c r="F7" s="24" t="s">
        <v>1953</v>
      </c>
      <c r="G7" s="24" t="s">
        <v>1964</v>
      </c>
    </row>
    <row r="8" spans="1:7" x14ac:dyDescent="0.2">
      <c r="A8" s="24" t="s">
        <v>1899</v>
      </c>
      <c r="B8" s="24" t="s">
        <v>1910</v>
      </c>
      <c r="C8" s="24" t="s">
        <v>1921</v>
      </c>
      <c r="D8" s="24" t="s">
        <v>1932</v>
      </c>
      <c r="E8" s="24" t="s">
        <v>1943</v>
      </c>
      <c r="F8" s="24" t="s">
        <v>1954</v>
      </c>
      <c r="G8" s="24" t="s">
        <v>1965</v>
      </c>
    </row>
    <row r="9" spans="1:7" x14ac:dyDescent="0.2">
      <c r="A9" s="24" t="s">
        <v>1900</v>
      </c>
      <c r="B9" s="24" t="s">
        <v>1911</v>
      </c>
      <c r="C9" s="24" t="s">
        <v>1922</v>
      </c>
      <c r="D9" s="24" t="s">
        <v>1933</v>
      </c>
      <c r="E9" s="24" t="s">
        <v>1944</v>
      </c>
      <c r="F9" s="24" t="s">
        <v>1955</v>
      </c>
      <c r="G9" s="24" t="s">
        <v>1966</v>
      </c>
    </row>
    <row r="10" spans="1:7" x14ac:dyDescent="0.2">
      <c r="A10" s="24" t="s">
        <v>1901</v>
      </c>
      <c r="B10" s="24" t="s">
        <v>1912</v>
      </c>
      <c r="C10" s="24" t="s">
        <v>1923</v>
      </c>
      <c r="D10" s="24" t="s">
        <v>1934</v>
      </c>
      <c r="E10" s="24" t="s">
        <v>1945</v>
      </c>
      <c r="F10" s="24" t="s">
        <v>1956</v>
      </c>
      <c r="G10" s="24" t="s">
        <v>1967</v>
      </c>
    </row>
    <row r="11" spans="1:7" x14ac:dyDescent="0.2">
      <c r="A11" s="24" t="s">
        <v>1902</v>
      </c>
      <c r="B11" s="24" t="s">
        <v>1913</v>
      </c>
      <c r="C11" s="24" t="s">
        <v>1924</v>
      </c>
      <c r="D11" s="24" t="s">
        <v>1935</v>
      </c>
      <c r="E11" s="24" t="s">
        <v>1946</v>
      </c>
      <c r="F11" s="24" t="s">
        <v>1957</v>
      </c>
      <c r="G11" s="24" t="s">
        <v>1968</v>
      </c>
    </row>
  </sheetData>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0" tint="-0.34998626667073579"/>
  </sheetPr>
  <dimension ref="A1:E17"/>
  <sheetViews>
    <sheetView zoomScale="70" zoomScaleNormal="70" workbookViewId="0"/>
  </sheetViews>
  <sheetFormatPr baseColWidth="10" defaultColWidth="8.83203125" defaultRowHeight="15" x14ac:dyDescent="0.2"/>
  <cols>
    <col min="1" max="1" width="32.6640625" style="24" customWidth="1"/>
    <col min="2" max="5" width="33" style="23" customWidth="1"/>
    <col min="6" max="16384" width="8.83203125" style="24"/>
  </cols>
  <sheetData>
    <row r="1" spans="1:5" x14ac:dyDescent="0.2">
      <c r="A1" s="24" t="s">
        <v>1969</v>
      </c>
      <c r="B1" s="23" t="s">
        <v>1986</v>
      </c>
      <c r="C1" s="23" t="s">
        <v>2003</v>
      </c>
      <c r="D1" s="23" t="s">
        <v>2020</v>
      </c>
      <c r="E1" s="23" t="s">
        <v>2037</v>
      </c>
    </row>
    <row r="2" spans="1:5" x14ac:dyDescent="0.2">
      <c r="A2" s="24" t="s">
        <v>1970</v>
      </c>
      <c r="B2" s="23" t="s">
        <v>1987</v>
      </c>
      <c r="C2" s="23" t="s">
        <v>2004</v>
      </c>
      <c r="D2" s="23" t="s">
        <v>2021</v>
      </c>
      <c r="E2" s="23" t="s">
        <v>2038</v>
      </c>
    </row>
    <row r="3" spans="1:5" x14ac:dyDescent="0.2">
      <c r="A3" s="24" t="s">
        <v>1971</v>
      </c>
      <c r="B3" s="23" t="s">
        <v>1988</v>
      </c>
      <c r="C3" s="23" t="s">
        <v>2005</v>
      </c>
      <c r="D3" s="23" t="s">
        <v>2022</v>
      </c>
      <c r="E3" s="23" t="s">
        <v>2039</v>
      </c>
    </row>
    <row r="4" spans="1:5" x14ac:dyDescent="0.2">
      <c r="A4" s="24" t="s">
        <v>1972</v>
      </c>
      <c r="B4" s="23" t="s">
        <v>1989</v>
      </c>
      <c r="C4" s="23" t="s">
        <v>2006</v>
      </c>
      <c r="D4" s="23" t="s">
        <v>2023</v>
      </c>
      <c r="E4" s="23" t="s">
        <v>2040</v>
      </c>
    </row>
    <row r="5" spans="1:5" x14ac:dyDescent="0.2">
      <c r="A5" s="24" t="s">
        <v>1973</v>
      </c>
      <c r="B5" s="23" t="s">
        <v>1990</v>
      </c>
      <c r="C5" s="23" t="s">
        <v>2007</v>
      </c>
      <c r="D5" s="23" t="s">
        <v>2024</v>
      </c>
      <c r="E5" s="23" t="s">
        <v>2041</v>
      </c>
    </row>
    <row r="6" spans="1:5" x14ac:dyDescent="0.2">
      <c r="A6" s="24" t="s">
        <v>1974</v>
      </c>
      <c r="B6" s="23" t="s">
        <v>1991</v>
      </c>
      <c r="C6" s="23" t="s">
        <v>2008</v>
      </c>
      <c r="D6" s="23" t="s">
        <v>2025</v>
      </c>
      <c r="E6" s="23" t="s">
        <v>2042</v>
      </c>
    </row>
    <row r="7" spans="1:5" x14ac:dyDescent="0.2">
      <c r="A7" s="24" t="s">
        <v>1975</v>
      </c>
      <c r="B7" s="23" t="s">
        <v>1992</v>
      </c>
      <c r="C7" s="23" t="s">
        <v>2009</v>
      </c>
      <c r="D7" s="23" t="s">
        <v>2026</v>
      </c>
      <c r="E7" s="23" t="s">
        <v>2043</v>
      </c>
    </row>
    <row r="8" spans="1:5" x14ac:dyDescent="0.2">
      <c r="A8" s="24" t="s">
        <v>1976</v>
      </c>
      <c r="B8" s="23" t="s">
        <v>1993</v>
      </c>
      <c r="C8" s="23" t="s">
        <v>2010</v>
      </c>
      <c r="D8" s="23" t="s">
        <v>2027</v>
      </c>
      <c r="E8" s="23" t="s">
        <v>2044</v>
      </c>
    </row>
    <row r="9" spans="1:5" x14ac:dyDescent="0.2">
      <c r="A9" s="24" t="s">
        <v>1977</v>
      </c>
      <c r="B9" s="23" t="s">
        <v>1994</v>
      </c>
      <c r="C9" s="23" t="s">
        <v>2011</v>
      </c>
      <c r="D9" s="23" t="s">
        <v>2028</v>
      </c>
      <c r="E9" s="23" t="s">
        <v>2045</v>
      </c>
    </row>
    <row r="10" spans="1:5" x14ac:dyDescent="0.2">
      <c r="A10" s="24" t="s">
        <v>1978</v>
      </c>
      <c r="B10" s="23" t="s">
        <v>1995</v>
      </c>
      <c r="C10" s="23" t="s">
        <v>2012</v>
      </c>
      <c r="D10" s="23" t="s">
        <v>2029</v>
      </c>
      <c r="E10" s="23" t="s">
        <v>2046</v>
      </c>
    </row>
    <row r="11" spans="1:5" x14ac:dyDescent="0.2">
      <c r="A11" s="24" t="s">
        <v>1979</v>
      </c>
      <c r="B11" s="23" t="s">
        <v>1996</v>
      </c>
      <c r="C11" s="23" t="s">
        <v>2013</v>
      </c>
      <c r="D11" s="23" t="s">
        <v>2030</v>
      </c>
      <c r="E11" s="23" t="s">
        <v>2047</v>
      </c>
    </row>
    <row r="12" spans="1:5" x14ac:dyDescent="0.2">
      <c r="A12" s="24" t="s">
        <v>1980</v>
      </c>
      <c r="B12" s="23" t="s">
        <v>1997</v>
      </c>
      <c r="C12" s="23" t="s">
        <v>2014</v>
      </c>
      <c r="D12" s="23" t="s">
        <v>2031</v>
      </c>
      <c r="E12" s="23" t="s">
        <v>2048</v>
      </c>
    </row>
    <row r="13" spans="1:5" x14ac:dyDescent="0.2">
      <c r="A13" s="24" t="s">
        <v>1981</v>
      </c>
      <c r="B13" s="23" t="s">
        <v>1998</v>
      </c>
      <c r="C13" s="23" t="s">
        <v>2015</v>
      </c>
      <c r="D13" s="23" t="s">
        <v>2032</v>
      </c>
      <c r="E13" s="23" t="s">
        <v>2049</v>
      </c>
    </row>
    <row r="14" spans="1:5" x14ac:dyDescent="0.2">
      <c r="A14" s="24" t="s">
        <v>1982</v>
      </c>
      <c r="B14" s="23" t="s">
        <v>1999</v>
      </c>
      <c r="C14" s="23" t="s">
        <v>2016</v>
      </c>
      <c r="D14" s="23" t="s">
        <v>2033</v>
      </c>
      <c r="E14" s="23" t="s">
        <v>2050</v>
      </c>
    </row>
    <row r="15" spans="1:5" x14ac:dyDescent="0.2">
      <c r="A15" s="24" t="s">
        <v>1983</v>
      </c>
      <c r="B15" s="23" t="s">
        <v>2000</v>
      </c>
      <c r="C15" s="23" t="s">
        <v>2017</v>
      </c>
      <c r="D15" s="23" t="s">
        <v>2034</v>
      </c>
      <c r="E15" s="23" t="s">
        <v>2051</v>
      </c>
    </row>
    <row r="16" spans="1:5" x14ac:dyDescent="0.2">
      <c r="A16" s="24" t="s">
        <v>1984</v>
      </c>
      <c r="B16" s="23" t="s">
        <v>2001</v>
      </c>
      <c r="C16" s="23" t="s">
        <v>2018</v>
      </c>
      <c r="D16" s="23" t="s">
        <v>2035</v>
      </c>
      <c r="E16" s="23" t="s">
        <v>2052</v>
      </c>
    </row>
    <row r="17" spans="1:5" x14ac:dyDescent="0.2">
      <c r="A17" s="24" t="s">
        <v>1985</v>
      </c>
      <c r="B17" s="23" t="s">
        <v>2002</v>
      </c>
      <c r="C17" s="23" t="s">
        <v>2019</v>
      </c>
      <c r="D17" s="23" t="s">
        <v>2036</v>
      </c>
      <c r="E17" s="23" t="s">
        <v>2053</v>
      </c>
    </row>
  </sheetData>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0" tint="-0.34998626667073579"/>
  </sheetPr>
  <dimension ref="A1:C37"/>
  <sheetViews>
    <sheetView workbookViewId="0"/>
  </sheetViews>
  <sheetFormatPr baseColWidth="10" defaultColWidth="8.83203125" defaultRowHeight="15" x14ac:dyDescent="0.2"/>
  <cols>
    <col min="1" max="1" width="41" style="24" customWidth="1"/>
    <col min="2" max="3" width="16.33203125" style="24" customWidth="1"/>
    <col min="4" max="16384" width="8.83203125" style="24"/>
  </cols>
  <sheetData>
    <row r="1" spans="1:3" x14ac:dyDescent="0.2">
      <c r="A1" s="24" t="s">
        <v>2054</v>
      </c>
      <c r="B1" s="24" t="s">
        <v>2091</v>
      </c>
      <c r="C1" s="24" t="s">
        <v>2128</v>
      </c>
    </row>
    <row r="2" spans="1:3" x14ac:dyDescent="0.2">
      <c r="A2" s="24" t="s">
        <v>2055</v>
      </c>
      <c r="B2" s="24" t="s">
        <v>2092</v>
      </c>
      <c r="C2" s="24" t="s">
        <v>2129</v>
      </c>
    </row>
    <row r="3" spans="1:3" x14ac:dyDescent="0.2">
      <c r="A3" s="24" t="s">
        <v>2056</v>
      </c>
      <c r="B3" s="24" t="s">
        <v>2093</v>
      </c>
      <c r="C3" s="24" t="s">
        <v>2130</v>
      </c>
    </row>
    <row r="4" spans="1:3" x14ac:dyDescent="0.2">
      <c r="A4" s="24" t="s">
        <v>2057</v>
      </c>
      <c r="B4" s="24" t="s">
        <v>2094</v>
      </c>
      <c r="C4" s="24" t="s">
        <v>2131</v>
      </c>
    </row>
    <row r="5" spans="1:3" x14ac:dyDescent="0.2">
      <c r="A5" s="24" t="s">
        <v>2058</v>
      </c>
      <c r="B5" s="24" t="s">
        <v>2095</v>
      </c>
      <c r="C5" s="24" t="s">
        <v>2132</v>
      </c>
    </row>
    <row r="6" spans="1:3" x14ac:dyDescent="0.2">
      <c r="A6" s="24" t="s">
        <v>2059</v>
      </c>
      <c r="B6" s="24" t="s">
        <v>2096</v>
      </c>
      <c r="C6" s="24" t="s">
        <v>2133</v>
      </c>
    </row>
    <row r="7" spans="1:3" x14ac:dyDescent="0.2">
      <c r="A7" s="24" t="s">
        <v>2060</v>
      </c>
      <c r="B7" s="24" t="s">
        <v>2097</v>
      </c>
      <c r="C7" s="24" t="s">
        <v>2134</v>
      </c>
    </row>
    <row r="8" spans="1:3" x14ac:dyDescent="0.2">
      <c r="A8" s="24" t="s">
        <v>2061</v>
      </c>
      <c r="B8" s="24" t="s">
        <v>2098</v>
      </c>
      <c r="C8" s="24" t="s">
        <v>2135</v>
      </c>
    </row>
    <row r="9" spans="1:3" x14ac:dyDescent="0.2">
      <c r="A9" s="24" t="s">
        <v>2062</v>
      </c>
      <c r="B9" s="24" t="s">
        <v>2099</v>
      </c>
      <c r="C9" s="24" t="s">
        <v>2136</v>
      </c>
    </row>
    <row r="10" spans="1:3" x14ac:dyDescent="0.2">
      <c r="A10" s="24" t="s">
        <v>2063</v>
      </c>
      <c r="B10" s="24" t="s">
        <v>2100</v>
      </c>
      <c r="C10" s="24" t="s">
        <v>2137</v>
      </c>
    </row>
    <row r="11" spans="1:3" x14ac:dyDescent="0.2">
      <c r="A11" s="24" t="s">
        <v>2064</v>
      </c>
      <c r="B11" s="24" t="s">
        <v>2101</v>
      </c>
      <c r="C11" s="24" t="s">
        <v>2138</v>
      </c>
    </row>
    <row r="12" spans="1:3" x14ac:dyDescent="0.2">
      <c r="A12" s="24" t="s">
        <v>2065</v>
      </c>
      <c r="B12" s="24" t="s">
        <v>2102</v>
      </c>
      <c r="C12" s="24" t="s">
        <v>2139</v>
      </c>
    </row>
    <row r="13" spans="1:3" x14ac:dyDescent="0.2">
      <c r="A13" s="24" t="s">
        <v>2066</v>
      </c>
      <c r="B13" s="24" t="s">
        <v>2103</v>
      </c>
      <c r="C13" s="24" t="s">
        <v>2140</v>
      </c>
    </row>
    <row r="14" spans="1:3" x14ac:dyDescent="0.2">
      <c r="A14" s="24" t="s">
        <v>2067</v>
      </c>
      <c r="B14" s="24" t="s">
        <v>2104</v>
      </c>
      <c r="C14" s="24" t="s">
        <v>2141</v>
      </c>
    </row>
    <row r="15" spans="1:3" x14ac:dyDescent="0.2">
      <c r="A15" s="24" t="s">
        <v>2068</v>
      </c>
      <c r="B15" s="24" t="s">
        <v>2105</v>
      </c>
      <c r="C15" s="24" t="s">
        <v>2142</v>
      </c>
    </row>
    <row r="16" spans="1:3" x14ac:dyDescent="0.2">
      <c r="A16" s="24" t="s">
        <v>2069</v>
      </c>
      <c r="B16" s="24" t="s">
        <v>2106</v>
      </c>
      <c r="C16" s="24" t="s">
        <v>2143</v>
      </c>
    </row>
    <row r="17" spans="1:3" x14ac:dyDescent="0.2">
      <c r="A17" s="24" t="s">
        <v>2070</v>
      </c>
      <c r="B17" s="24" t="s">
        <v>2107</v>
      </c>
      <c r="C17" s="24" t="s">
        <v>2144</v>
      </c>
    </row>
    <row r="18" spans="1:3" x14ac:dyDescent="0.2">
      <c r="A18" s="24" t="s">
        <v>2071</v>
      </c>
      <c r="B18" s="24" t="s">
        <v>2108</v>
      </c>
      <c r="C18" s="24" t="s">
        <v>2145</v>
      </c>
    </row>
    <row r="19" spans="1:3" x14ac:dyDescent="0.2">
      <c r="A19" s="24" t="s">
        <v>2072</v>
      </c>
      <c r="B19" s="24" t="s">
        <v>2109</v>
      </c>
      <c r="C19" s="24" t="s">
        <v>2146</v>
      </c>
    </row>
    <row r="20" spans="1:3" x14ac:dyDescent="0.2">
      <c r="A20" s="24" t="s">
        <v>2073</v>
      </c>
      <c r="B20" s="24" t="s">
        <v>2110</v>
      </c>
      <c r="C20" s="24" t="s">
        <v>2147</v>
      </c>
    </row>
    <row r="21" spans="1:3" x14ac:dyDescent="0.2">
      <c r="A21" s="24" t="s">
        <v>2074</v>
      </c>
      <c r="B21" s="24" t="s">
        <v>2111</v>
      </c>
      <c r="C21" s="24" t="s">
        <v>2148</v>
      </c>
    </row>
    <row r="22" spans="1:3" x14ac:dyDescent="0.2">
      <c r="A22" s="24" t="s">
        <v>2075</v>
      </c>
      <c r="B22" s="24" t="s">
        <v>2112</v>
      </c>
      <c r="C22" s="24" t="s">
        <v>2149</v>
      </c>
    </row>
    <row r="23" spans="1:3" x14ac:dyDescent="0.2">
      <c r="A23" s="24" t="s">
        <v>2076</v>
      </c>
      <c r="B23" s="24" t="s">
        <v>2113</v>
      </c>
      <c r="C23" s="24" t="s">
        <v>2150</v>
      </c>
    </row>
    <row r="24" spans="1:3" x14ac:dyDescent="0.2">
      <c r="A24" s="24" t="s">
        <v>2077</v>
      </c>
      <c r="B24" s="24" t="s">
        <v>2114</v>
      </c>
      <c r="C24" s="24" t="s">
        <v>2151</v>
      </c>
    </row>
    <row r="25" spans="1:3" x14ac:dyDescent="0.2">
      <c r="A25" s="24" t="s">
        <v>2078</v>
      </c>
      <c r="B25" s="24" t="s">
        <v>2115</v>
      </c>
      <c r="C25" s="24" t="s">
        <v>2152</v>
      </c>
    </row>
    <row r="26" spans="1:3" x14ac:dyDescent="0.2">
      <c r="A26" s="24" t="s">
        <v>2079</v>
      </c>
      <c r="B26" s="24" t="s">
        <v>2116</v>
      </c>
      <c r="C26" s="24" t="s">
        <v>2153</v>
      </c>
    </row>
    <row r="27" spans="1:3" x14ac:dyDescent="0.2">
      <c r="A27" s="24" t="s">
        <v>2080</v>
      </c>
      <c r="B27" s="24" t="s">
        <v>2117</v>
      </c>
      <c r="C27" s="24" t="s">
        <v>2154</v>
      </c>
    </row>
    <row r="28" spans="1:3" x14ac:dyDescent="0.2">
      <c r="A28" s="24" t="s">
        <v>2081</v>
      </c>
      <c r="B28" s="24" t="s">
        <v>2118</v>
      </c>
      <c r="C28" s="24" t="s">
        <v>2155</v>
      </c>
    </row>
    <row r="29" spans="1:3" x14ac:dyDescent="0.2">
      <c r="A29" s="24" t="s">
        <v>2082</v>
      </c>
      <c r="B29" s="24" t="s">
        <v>2119</v>
      </c>
      <c r="C29" s="24" t="s">
        <v>2156</v>
      </c>
    </row>
    <row r="30" spans="1:3" x14ac:dyDescent="0.2">
      <c r="A30" s="24" t="s">
        <v>2083</v>
      </c>
      <c r="B30" s="24" t="s">
        <v>2120</v>
      </c>
      <c r="C30" s="24" t="s">
        <v>2157</v>
      </c>
    </row>
    <row r="31" spans="1:3" x14ac:dyDescent="0.2">
      <c r="A31" s="24" t="s">
        <v>2084</v>
      </c>
      <c r="B31" s="24" t="s">
        <v>2121</v>
      </c>
      <c r="C31" s="24" t="s">
        <v>2158</v>
      </c>
    </row>
    <row r="32" spans="1:3" x14ac:dyDescent="0.2">
      <c r="A32" s="24" t="s">
        <v>2085</v>
      </c>
      <c r="B32" s="24" t="s">
        <v>2122</v>
      </c>
      <c r="C32" s="24" t="s">
        <v>2159</v>
      </c>
    </row>
    <row r="33" spans="1:3" x14ac:dyDescent="0.2">
      <c r="A33" s="24" t="s">
        <v>2086</v>
      </c>
      <c r="B33" s="24" t="s">
        <v>2123</v>
      </c>
      <c r="C33" s="24" t="s">
        <v>2160</v>
      </c>
    </row>
    <row r="34" spans="1:3" x14ac:dyDescent="0.2">
      <c r="A34" s="24" t="s">
        <v>2087</v>
      </c>
      <c r="B34" s="24" t="s">
        <v>2124</v>
      </c>
      <c r="C34" s="24" t="s">
        <v>2161</v>
      </c>
    </row>
    <row r="35" spans="1:3" x14ac:dyDescent="0.2">
      <c r="A35" s="24" t="s">
        <v>2088</v>
      </c>
      <c r="B35" s="24" t="s">
        <v>2125</v>
      </c>
      <c r="C35" s="24" t="s">
        <v>2162</v>
      </c>
    </row>
    <row r="36" spans="1:3" x14ac:dyDescent="0.2">
      <c r="A36" s="24" t="s">
        <v>2089</v>
      </c>
      <c r="B36" s="24" t="s">
        <v>2126</v>
      </c>
      <c r="C36" s="24" t="s">
        <v>2163</v>
      </c>
    </row>
    <row r="37" spans="1:3" x14ac:dyDescent="0.2">
      <c r="A37" s="24" t="s">
        <v>2090</v>
      </c>
      <c r="B37" s="24" t="s">
        <v>2127</v>
      </c>
      <c r="C37" s="24" t="s">
        <v>2164</v>
      </c>
    </row>
  </sheetData>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0" tint="-0.34998626667073579"/>
  </sheetPr>
  <dimension ref="A1:C37"/>
  <sheetViews>
    <sheetView workbookViewId="0"/>
  </sheetViews>
  <sheetFormatPr baseColWidth="10" defaultColWidth="8.83203125" defaultRowHeight="15" x14ac:dyDescent="0.2"/>
  <cols>
    <col min="1" max="1" width="28" style="24" customWidth="1"/>
    <col min="2" max="3" width="15" style="24" customWidth="1"/>
    <col min="4" max="16384" width="8.83203125" style="24"/>
  </cols>
  <sheetData>
    <row r="1" spans="1:3" x14ac:dyDescent="0.2">
      <c r="A1" s="24" t="s">
        <v>2165</v>
      </c>
      <c r="B1" s="24" t="s">
        <v>2202</v>
      </c>
      <c r="C1" s="24" t="s">
        <v>2239</v>
      </c>
    </row>
    <row r="2" spans="1:3" x14ac:dyDescent="0.2">
      <c r="A2" s="24" t="s">
        <v>2166</v>
      </c>
      <c r="B2" s="24" t="s">
        <v>2203</v>
      </c>
      <c r="C2" s="24" t="s">
        <v>2240</v>
      </c>
    </row>
    <row r="3" spans="1:3" x14ac:dyDescent="0.2">
      <c r="A3" s="24" t="s">
        <v>2167</v>
      </c>
      <c r="B3" s="24" t="s">
        <v>2204</v>
      </c>
      <c r="C3" s="24" t="s">
        <v>2241</v>
      </c>
    </row>
    <row r="4" spans="1:3" x14ac:dyDescent="0.2">
      <c r="A4" s="24" t="s">
        <v>2168</v>
      </c>
      <c r="B4" s="24" t="s">
        <v>2205</v>
      </c>
      <c r="C4" s="24" t="s">
        <v>2242</v>
      </c>
    </row>
    <row r="5" spans="1:3" x14ac:dyDescent="0.2">
      <c r="A5" s="24" t="s">
        <v>2169</v>
      </c>
      <c r="B5" s="24" t="s">
        <v>2206</v>
      </c>
      <c r="C5" s="24" t="s">
        <v>2243</v>
      </c>
    </row>
    <row r="6" spans="1:3" x14ac:dyDescent="0.2">
      <c r="A6" s="24" t="s">
        <v>2170</v>
      </c>
      <c r="B6" s="24" t="s">
        <v>2207</v>
      </c>
      <c r="C6" s="24" t="s">
        <v>2244</v>
      </c>
    </row>
    <row r="7" spans="1:3" x14ac:dyDescent="0.2">
      <c r="A7" s="24" t="s">
        <v>2171</v>
      </c>
      <c r="B7" s="24" t="s">
        <v>2208</v>
      </c>
      <c r="C7" s="24" t="s">
        <v>2245</v>
      </c>
    </row>
    <row r="8" spans="1:3" x14ac:dyDescent="0.2">
      <c r="A8" s="24" t="s">
        <v>2172</v>
      </c>
      <c r="B8" s="24" t="s">
        <v>2209</v>
      </c>
      <c r="C8" s="24" t="s">
        <v>2246</v>
      </c>
    </row>
    <row r="9" spans="1:3" x14ac:dyDescent="0.2">
      <c r="A9" s="24" t="s">
        <v>2173</v>
      </c>
      <c r="B9" s="24" t="s">
        <v>2210</v>
      </c>
      <c r="C9" s="24" t="s">
        <v>2247</v>
      </c>
    </row>
    <row r="10" spans="1:3" x14ac:dyDescent="0.2">
      <c r="A10" s="24" t="s">
        <v>2174</v>
      </c>
      <c r="B10" s="24" t="s">
        <v>2211</v>
      </c>
      <c r="C10" s="24" t="s">
        <v>2248</v>
      </c>
    </row>
    <row r="11" spans="1:3" x14ac:dyDescent="0.2">
      <c r="A11" s="24" t="s">
        <v>2175</v>
      </c>
      <c r="B11" s="24" t="s">
        <v>2212</v>
      </c>
      <c r="C11" s="24" t="s">
        <v>2249</v>
      </c>
    </row>
    <row r="12" spans="1:3" x14ac:dyDescent="0.2">
      <c r="A12" s="24" t="s">
        <v>2176</v>
      </c>
      <c r="B12" s="24" t="s">
        <v>2213</v>
      </c>
      <c r="C12" s="24" t="s">
        <v>2250</v>
      </c>
    </row>
    <row r="13" spans="1:3" x14ac:dyDescent="0.2">
      <c r="A13" s="24" t="s">
        <v>2177</v>
      </c>
      <c r="B13" s="24" t="s">
        <v>2214</v>
      </c>
      <c r="C13" s="24" t="s">
        <v>2251</v>
      </c>
    </row>
    <row r="14" spans="1:3" x14ac:dyDescent="0.2">
      <c r="A14" s="24" t="s">
        <v>2178</v>
      </c>
      <c r="B14" s="24" t="s">
        <v>2215</v>
      </c>
      <c r="C14" s="24" t="s">
        <v>2252</v>
      </c>
    </row>
    <row r="15" spans="1:3" x14ac:dyDescent="0.2">
      <c r="A15" s="24" t="s">
        <v>2179</v>
      </c>
      <c r="B15" s="24" t="s">
        <v>2216</v>
      </c>
      <c r="C15" s="24" t="s">
        <v>2253</v>
      </c>
    </row>
    <row r="16" spans="1:3" x14ac:dyDescent="0.2">
      <c r="A16" s="24" t="s">
        <v>2180</v>
      </c>
      <c r="B16" s="24" t="s">
        <v>2217</v>
      </c>
      <c r="C16" s="24" t="s">
        <v>2254</v>
      </c>
    </row>
    <row r="17" spans="1:3" x14ac:dyDescent="0.2">
      <c r="A17" s="24" t="s">
        <v>2181</v>
      </c>
      <c r="B17" s="24" t="s">
        <v>2218</v>
      </c>
      <c r="C17" s="24" t="s">
        <v>2255</v>
      </c>
    </row>
    <row r="18" spans="1:3" x14ac:dyDescent="0.2">
      <c r="A18" s="24" t="s">
        <v>2182</v>
      </c>
      <c r="B18" s="24" t="s">
        <v>2219</v>
      </c>
      <c r="C18" s="24" t="s">
        <v>2256</v>
      </c>
    </row>
    <row r="19" spans="1:3" x14ac:dyDescent="0.2">
      <c r="A19" s="24" t="s">
        <v>2183</v>
      </c>
      <c r="B19" s="24" t="s">
        <v>2220</v>
      </c>
      <c r="C19" s="24" t="s">
        <v>2257</v>
      </c>
    </row>
    <row r="20" spans="1:3" x14ac:dyDescent="0.2">
      <c r="A20" s="24" t="s">
        <v>2184</v>
      </c>
      <c r="B20" s="24" t="s">
        <v>2221</v>
      </c>
      <c r="C20" s="24" t="s">
        <v>2258</v>
      </c>
    </row>
    <row r="21" spans="1:3" x14ac:dyDescent="0.2">
      <c r="A21" s="24" t="s">
        <v>2185</v>
      </c>
      <c r="B21" s="24" t="s">
        <v>2222</v>
      </c>
      <c r="C21" s="24" t="s">
        <v>2259</v>
      </c>
    </row>
    <row r="22" spans="1:3" x14ac:dyDescent="0.2">
      <c r="A22" s="24" t="s">
        <v>2186</v>
      </c>
      <c r="B22" s="24" t="s">
        <v>2223</v>
      </c>
      <c r="C22" s="24" t="s">
        <v>2260</v>
      </c>
    </row>
    <row r="23" spans="1:3" x14ac:dyDescent="0.2">
      <c r="A23" s="24" t="s">
        <v>2187</v>
      </c>
      <c r="B23" s="24" t="s">
        <v>2224</v>
      </c>
      <c r="C23" s="24" t="s">
        <v>2261</v>
      </c>
    </row>
    <row r="24" spans="1:3" x14ac:dyDescent="0.2">
      <c r="A24" s="24" t="s">
        <v>2188</v>
      </c>
      <c r="B24" s="24" t="s">
        <v>2225</v>
      </c>
      <c r="C24" s="24" t="s">
        <v>2262</v>
      </c>
    </row>
    <row r="25" spans="1:3" x14ac:dyDescent="0.2">
      <c r="A25" s="24" t="s">
        <v>2189</v>
      </c>
      <c r="B25" s="24" t="s">
        <v>2226</v>
      </c>
      <c r="C25" s="24" t="s">
        <v>2263</v>
      </c>
    </row>
    <row r="26" spans="1:3" x14ac:dyDescent="0.2">
      <c r="A26" s="24" t="s">
        <v>2190</v>
      </c>
      <c r="B26" s="24" t="s">
        <v>2227</v>
      </c>
      <c r="C26" s="24" t="s">
        <v>2264</v>
      </c>
    </row>
    <row r="27" spans="1:3" x14ac:dyDescent="0.2">
      <c r="A27" s="24" t="s">
        <v>2191</v>
      </c>
      <c r="B27" s="24" t="s">
        <v>2228</v>
      </c>
      <c r="C27" s="24" t="s">
        <v>2265</v>
      </c>
    </row>
    <row r="28" spans="1:3" x14ac:dyDescent="0.2">
      <c r="A28" s="24" t="s">
        <v>2192</v>
      </c>
      <c r="B28" s="24" t="s">
        <v>2229</v>
      </c>
      <c r="C28" s="24" t="s">
        <v>2266</v>
      </c>
    </row>
    <row r="29" spans="1:3" x14ac:dyDescent="0.2">
      <c r="A29" s="24" t="s">
        <v>2193</v>
      </c>
      <c r="B29" s="24" t="s">
        <v>2230</v>
      </c>
      <c r="C29" s="24" t="s">
        <v>2267</v>
      </c>
    </row>
    <row r="30" spans="1:3" x14ac:dyDescent="0.2">
      <c r="A30" s="24" t="s">
        <v>2194</v>
      </c>
      <c r="B30" s="24" t="s">
        <v>2231</v>
      </c>
      <c r="C30" s="24" t="s">
        <v>2268</v>
      </c>
    </row>
    <row r="31" spans="1:3" x14ac:dyDescent="0.2">
      <c r="A31" s="24" t="s">
        <v>2195</v>
      </c>
      <c r="B31" s="24" t="s">
        <v>2232</v>
      </c>
      <c r="C31" s="24" t="s">
        <v>2269</v>
      </c>
    </row>
    <row r="32" spans="1:3" x14ac:dyDescent="0.2">
      <c r="A32" s="24" t="s">
        <v>2196</v>
      </c>
      <c r="B32" s="24" t="s">
        <v>2233</v>
      </c>
      <c r="C32" s="24" t="s">
        <v>2270</v>
      </c>
    </row>
    <row r="33" spans="1:3" x14ac:dyDescent="0.2">
      <c r="A33" s="24" t="s">
        <v>2197</v>
      </c>
      <c r="B33" s="24" t="s">
        <v>2234</v>
      </c>
      <c r="C33" s="24" t="s">
        <v>2271</v>
      </c>
    </row>
    <row r="34" spans="1:3" x14ac:dyDescent="0.2">
      <c r="A34" s="24" t="s">
        <v>2198</v>
      </c>
      <c r="B34" s="24" t="s">
        <v>2235</v>
      </c>
      <c r="C34" s="24" t="s">
        <v>2272</v>
      </c>
    </row>
    <row r="35" spans="1:3" x14ac:dyDescent="0.2">
      <c r="A35" s="24" t="s">
        <v>2199</v>
      </c>
      <c r="B35" s="24" t="s">
        <v>2236</v>
      </c>
      <c r="C35" s="24" t="s">
        <v>2273</v>
      </c>
    </row>
    <row r="36" spans="1:3" x14ac:dyDescent="0.2">
      <c r="A36" s="24" t="s">
        <v>2200</v>
      </c>
      <c r="B36" s="24" t="s">
        <v>2237</v>
      </c>
      <c r="C36" s="24" t="s">
        <v>2274</v>
      </c>
    </row>
    <row r="37" spans="1:3" x14ac:dyDescent="0.2">
      <c r="A37" s="24" t="s">
        <v>2201</v>
      </c>
      <c r="B37" s="24" t="s">
        <v>2238</v>
      </c>
      <c r="C37" s="24" t="s">
        <v>2275</v>
      </c>
    </row>
  </sheetData>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0" tint="-0.34998626667073579"/>
  </sheetPr>
  <dimension ref="A1:L19"/>
  <sheetViews>
    <sheetView zoomScale="70" zoomScaleNormal="70" workbookViewId="0"/>
  </sheetViews>
  <sheetFormatPr baseColWidth="10" defaultColWidth="8.83203125" defaultRowHeight="15" x14ac:dyDescent="0.2"/>
  <cols>
    <col min="1" max="1" width="33.83203125" style="24" customWidth="1"/>
    <col min="2" max="12" width="12.33203125" style="24" customWidth="1"/>
    <col min="13" max="16384" width="8.83203125" style="24"/>
  </cols>
  <sheetData>
    <row r="1" spans="1:12" x14ac:dyDescent="0.2">
      <c r="A1" s="24" t="s">
        <v>2276</v>
      </c>
      <c r="B1" s="24" t="s">
        <v>2295</v>
      </c>
      <c r="C1" s="24" t="s">
        <v>2314</v>
      </c>
      <c r="D1" s="24" t="s">
        <v>2333</v>
      </c>
      <c r="E1" s="24" t="s">
        <v>2352</v>
      </c>
      <c r="F1" s="24" t="s">
        <v>2371</v>
      </c>
      <c r="G1" s="24" t="s">
        <v>2390</v>
      </c>
      <c r="H1" s="24" t="s">
        <v>2409</v>
      </c>
      <c r="I1" s="24" t="s">
        <v>2428</v>
      </c>
      <c r="J1" s="24" t="s">
        <v>2447</v>
      </c>
      <c r="K1" s="24" t="s">
        <v>2466</v>
      </c>
      <c r="L1" s="24" t="s">
        <v>2485</v>
      </c>
    </row>
    <row r="2" spans="1:12" x14ac:dyDescent="0.2">
      <c r="A2" s="24" t="s">
        <v>2277</v>
      </c>
      <c r="B2" s="24" t="s">
        <v>2296</v>
      </c>
      <c r="C2" s="24" t="s">
        <v>2315</v>
      </c>
      <c r="D2" s="24" t="s">
        <v>2334</v>
      </c>
      <c r="E2" s="24" t="s">
        <v>2353</v>
      </c>
      <c r="F2" s="24" t="s">
        <v>2372</v>
      </c>
      <c r="G2" s="24" t="s">
        <v>2391</v>
      </c>
      <c r="H2" s="24" t="s">
        <v>2410</v>
      </c>
      <c r="I2" s="24" t="s">
        <v>2429</v>
      </c>
      <c r="J2" s="24" t="s">
        <v>2448</v>
      </c>
      <c r="K2" s="24" t="s">
        <v>2467</v>
      </c>
      <c r="L2" s="24" t="s">
        <v>2486</v>
      </c>
    </row>
    <row r="3" spans="1:12" x14ac:dyDescent="0.2">
      <c r="A3" s="24" t="s">
        <v>2278</v>
      </c>
      <c r="B3" s="24" t="s">
        <v>2297</v>
      </c>
      <c r="C3" s="24" t="s">
        <v>2316</v>
      </c>
      <c r="D3" s="24" t="s">
        <v>2335</v>
      </c>
      <c r="E3" s="24" t="s">
        <v>2354</v>
      </c>
      <c r="F3" s="24" t="s">
        <v>2373</v>
      </c>
      <c r="G3" s="24" t="s">
        <v>2392</v>
      </c>
      <c r="H3" s="24" t="s">
        <v>2411</v>
      </c>
      <c r="I3" s="24" t="s">
        <v>2430</v>
      </c>
      <c r="J3" s="24" t="s">
        <v>2449</v>
      </c>
      <c r="K3" s="24" t="s">
        <v>2468</v>
      </c>
      <c r="L3" s="24" t="s">
        <v>2487</v>
      </c>
    </row>
    <row r="4" spans="1:12" x14ac:dyDescent="0.2">
      <c r="A4" s="24" t="s">
        <v>2279</v>
      </c>
      <c r="B4" s="24" t="s">
        <v>2298</v>
      </c>
      <c r="C4" s="24" t="s">
        <v>2317</v>
      </c>
      <c r="D4" s="24" t="s">
        <v>2336</v>
      </c>
      <c r="E4" s="24" t="s">
        <v>2355</v>
      </c>
      <c r="F4" s="24" t="s">
        <v>2374</v>
      </c>
      <c r="G4" s="24" t="s">
        <v>2393</v>
      </c>
      <c r="H4" s="24" t="s">
        <v>2412</v>
      </c>
      <c r="I4" s="24" t="s">
        <v>2431</v>
      </c>
      <c r="J4" s="24" t="s">
        <v>2450</v>
      </c>
      <c r="K4" s="24" t="s">
        <v>2469</v>
      </c>
      <c r="L4" s="24" t="s">
        <v>2488</v>
      </c>
    </row>
    <row r="5" spans="1:12" x14ac:dyDescent="0.2">
      <c r="A5" s="24" t="s">
        <v>2280</v>
      </c>
      <c r="B5" s="24" t="s">
        <v>2299</v>
      </c>
      <c r="C5" s="24" t="s">
        <v>2318</v>
      </c>
      <c r="D5" s="24" t="s">
        <v>2337</v>
      </c>
      <c r="E5" s="24" t="s">
        <v>2356</v>
      </c>
      <c r="F5" s="24" t="s">
        <v>2375</v>
      </c>
      <c r="G5" s="24" t="s">
        <v>2394</v>
      </c>
      <c r="H5" s="24" t="s">
        <v>2413</v>
      </c>
      <c r="I5" s="24" t="s">
        <v>2432</v>
      </c>
      <c r="J5" s="24" t="s">
        <v>2451</v>
      </c>
      <c r="K5" s="24" t="s">
        <v>2470</v>
      </c>
      <c r="L5" s="24" t="s">
        <v>2489</v>
      </c>
    </row>
    <row r="6" spans="1:12" x14ac:dyDescent="0.2">
      <c r="A6" s="24" t="s">
        <v>2281</v>
      </c>
      <c r="B6" s="24" t="s">
        <v>2300</v>
      </c>
      <c r="C6" s="24" t="s">
        <v>2319</v>
      </c>
      <c r="D6" s="24" t="s">
        <v>2338</v>
      </c>
      <c r="E6" s="24" t="s">
        <v>2357</v>
      </c>
      <c r="F6" s="24" t="s">
        <v>2376</v>
      </c>
      <c r="G6" s="24" t="s">
        <v>2395</v>
      </c>
      <c r="H6" s="24" t="s">
        <v>2414</v>
      </c>
      <c r="I6" s="24" t="s">
        <v>2433</v>
      </c>
      <c r="J6" s="24" t="s">
        <v>2452</v>
      </c>
      <c r="K6" s="24" t="s">
        <v>2471</v>
      </c>
      <c r="L6" s="24" t="s">
        <v>2490</v>
      </c>
    </row>
    <row r="7" spans="1:12" x14ac:dyDescent="0.2">
      <c r="A7" s="24" t="s">
        <v>2282</v>
      </c>
      <c r="B7" s="24" t="s">
        <v>2301</v>
      </c>
      <c r="C7" s="24" t="s">
        <v>2320</v>
      </c>
      <c r="D7" s="24" t="s">
        <v>2339</v>
      </c>
      <c r="E7" s="24" t="s">
        <v>2358</v>
      </c>
      <c r="F7" s="24" t="s">
        <v>2377</v>
      </c>
      <c r="G7" s="24" t="s">
        <v>2396</v>
      </c>
      <c r="H7" s="24" t="s">
        <v>2415</v>
      </c>
      <c r="I7" s="24" t="s">
        <v>2434</v>
      </c>
      <c r="J7" s="24" t="s">
        <v>2453</v>
      </c>
      <c r="K7" s="24" t="s">
        <v>2472</v>
      </c>
      <c r="L7" s="24" t="s">
        <v>2491</v>
      </c>
    </row>
    <row r="8" spans="1:12" x14ac:dyDescent="0.2">
      <c r="A8" s="24" t="s">
        <v>2283</v>
      </c>
      <c r="B8" s="24" t="s">
        <v>2302</v>
      </c>
      <c r="C8" s="24" t="s">
        <v>2321</v>
      </c>
      <c r="D8" s="24" t="s">
        <v>2340</v>
      </c>
      <c r="E8" s="24" t="s">
        <v>2359</v>
      </c>
      <c r="F8" s="24" t="s">
        <v>2378</v>
      </c>
      <c r="G8" s="24" t="s">
        <v>2397</v>
      </c>
      <c r="H8" s="24" t="s">
        <v>2416</v>
      </c>
      <c r="I8" s="24" t="s">
        <v>2435</v>
      </c>
      <c r="J8" s="24" t="s">
        <v>2454</v>
      </c>
      <c r="K8" s="24" t="s">
        <v>2473</v>
      </c>
      <c r="L8" s="24" t="s">
        <v>2492</v>
      </c>
    </row>
    <row r="9" spans="1:12" x14ac:dyDescent="0.2">
      <c r="A9" s="24" t="s">
        <v>2284</v>
      </c>
      <c r="B9" s="24" t="s">
        <v>2303</v>
      </c>
      <c r="C9" s="24" t="s">
        <v>2322</v>
      </c>
      <c r="D9" s="24" t="s">
        <v>2341</v>
      </c>
      <c r="E9" s="24" t="s">
        <v>2360</v>
      </c>
      <c r="F9" s="24" t="s">
        <v>2379</v>
      </c>
      <c r="G9" s="24" t="s">
        <v>2398</v>
      </c>
      <c r="H9" s="24" t="s">
        <v>2417</v>
      </c>
      <c r="I9" s="24" t="s">
        <v>2436</v>
      </c>
      <c r="J9" s="24" t="s">
        <v>2455</v>
      </c>
      <c r="K9" s="24" t="s">
        <v>2474</v>
      </c>
      <c r="L9" s="24" t="s">
        <v>2493</v>
      </c>
    </row>
    <row r="10" spans="1:12" x14ac:dyDescent="0.2">
      <c r="A10" s="24" t="s">
        <v>2285</v>
      </c>
      <c r="B10" s="24" t="s">
        <v>2304</v>
      </c>
      <c r="C10" s="24" t="s">
        <v>2323</v>
      </c>
      <c r="D10" s="24" t="s">
        <v>2342</v>
      </c>
      <c r="E10" s="24" t="s">
        <v>2361</v>
      </c>
      <c r="F10" s="24" t="s">
        <v>2380</v>
      </c>
      <c r="G10" s="24" t="s">
        <v>2399</v>
      </c>
      <c r="H10" s="24" t="s">
        <v>2418</v>
      </c>
      <c r="I10" s="24" t="s">
        <v>2437</v>
      </c>
      <c r="J10" s="24" t="s">
        <v>2456</v>
      </c>
      <c r="K10" s="24" t="s">
        <v>2475</v>
      </c>
      <c r="L10" s="24" t="s">
        <v>2494</v>
      </c>
    </row>
    <row r="11" spans="1:12" x14ac:dyDescent="0.2">
      <c r="A11" s="24" t="s">
        <v>2286</v>
      </c>
      <c r="B11" s="24" t="s">
        <v>2305</v>
      </c>
      <c r="C11" s="24" t="s">
        <v>2324</v>
      </c>
      <c r="D11" s="24" t="s">
        <v>2343</v>
      </c>
      <c r="E11" s="24" t="s">
        <v>2362</v>
      </c>
      <c r="F11" s="24" t="s">
        <v>2381</v>
      </c>
      <c r="G11" s="24" t="s">
        <v>2400</v>
      </c>
      <c r="H11" s="24" t="s">
        <v>2419</v>
      </c>
      <c r="I11" s="24" t="s">
        <v>2438</v>
      </c>
      <c r="J11" s="24" t="s">
        <v>2457</v>
      </c>
      <c r="K11" s="24" t="s">
        <v>2476</v>
      </c>
      <c r="L11" s="24" t="s">
        <v>2495</v>
      </c>
    </row>
    <row r="12" spans="1:12" x14ac:dyDescent="0.2">
      <c r="A12" s="24" t="s">
        <v>2287</v>
      </c>
      <c r="B12" s="24" t="s">
        <v>2306</v>
      </c>
      <c r="C12" s="24" t="s">
        <v>2325</v>
      </c>
      <c r="D12" s="24" t="s">
        <v>2344</v>
      </c>
      <c r="E12" s="24" t="s">
        <v>2363</v>
      </c>
      <c r="F12" s="24" t="s">
        <v>2382</v>
      </c>
      <c r="G12" s="24" t="s">
        <v>2401</v>
      </c>
      <c r="H12" s="24" t="s">
        <v>2420</v>
      </c>
      <c r="I12" s="24" t="s">
        <v>2439</v>
      </c>
      <c r="J12" s="24" t="s">
        <v>2458</v>
      </c>
      <c r="K12" s="24" t="s">
        <v>2477</v>
      </c>
      <c r="L12" s="24" t="s">
        <v>2496</v>
      </c>
    </row>
    <row r="13" spans="1:12" x14ac:dyDescent="0.2">
      <c r="A13" s="24" t="s">
        <v>2288</v>
      </c>
      <c r="B13" s="24" t="s">
        <v>2307</v>
      </c>
      <c r="C13" s="24" t="s">
        <v>2326</v>
      </c>
      <c r="D13" s="24" t="s">
        <v>2345</v>
      </c>
      <c r="E13" s="24" t="s">
        <v>2364</v>
      </c>
      <c r="F13" s="24" t="s">
        <v>2383</v>
      </c>
      <c r="G13" s="24" t="s">
        <v>2402</v>
      </c>
      <c r="H13" s="24" t="s">
        <v>2421</v>
      </c>
      <c r="I13" s="24" t="s">
        <v>2440</v>
      </c>
      <c r="J13" s="24" t="s">
        <v>2459</v>
      </c>
      <c r="K13" s="24" t="s">
        <v>2478</v>
      </c>
      <c r="L13" s="24" t="s">
        <v>2497</v>
      </c>
    </row>
    <row r="14" spans="1:12" x14ac:dyDescent="0.2">
      <c r="A14" s="24" t="s">
        <v>2289</v>
      </c>
      <c r="B14" s="24" t="s">
        <v>2308</v>
      </c>
      <c r="C14" s="24" t="s">
        <v>2327</v>
      </c>
      <c r="D14" s="24" t="s">
        <v>2346</v>
      </c>
      <c r="E14" s="24" t="s">
        <v>2365</v>
      </c>
      <c r="F14" s="24" t="s">
        <v>2384</v>
      </c>
      <c r="G14" s="24" t="s">
        <v>2403</v>
      </c>
      <c r="H14" s="24" t="s">
        <v>2422</v>
      </c>
      <c r="I14" s="24" t="s">
        <v>2441</v>
      </c>
      <c r="J14" s="24" t="s">
        <v>2460</v>
      </c>
      <c r="K14" s="24" t="s">
        <v>2479</v>
      </c>
      <c r="L14" s="24" t="s">
        <v>2498</v>
      </c>
    </row>
    <row r="15" spans="1:12" x14ac:dyDescent="0.2">
      <c r="A15" s="24" t="s">
        <v>2290</v>
      </c>
      <c r="B15" s="24" t="s">
        <v>2309</v>
      </c>
      <c r="C15" s="24" t="s">
        <v>2328</v>
      </c>
      <c r="D15" s="24" t="s">
        <v>2347</v>
      </c>
      <c r="E15" s="24" t="s">
        <v>2366</v>
      </c>
      <c r="F15" s="24" t="s">
        <v>2385</v>
      </c>
      <c r="G15" s="24" t="s">
        <v>2404</v>
      </c>
      <c r="H15" s="24" t="s">
        <v>2423</v>
      </c>
      <c r="I15" s="24" t="s">
        <v>2442</v>
      </c>
      <c r="J15" s="24" t="s">
        <v>2461</v>
      </c>
      <c r="K15" s="24" t="s">
        <v>2480</v>
      </c>
      <c r="L15" s="24" t="s">
        <v>2499</v>
      </c>
    </row>
    <row r="16" spans="1:12" x14ac:dyDescent="0.2">
      <c r="A16" s="24" t="s">
        <v>2291</v>
      </c>
      <c r="B16" s="24" t="s">
        <v>2310</v>
      </c>
      <c r="C16" s="24" t="s">
        <v>2329</v>
      </c>
      <c r="D16" s="24" t="s">
        <v>2348</v>
      </c>
      <c r="E16" s="24" t="s">
        <v>2367</v>
      </c>
      <c r="F16" s="24" t="s">
        <v>2386</v>
      </c>
      <c r="G16" s="24" t="s">
        <v>2405</v>
      </c>
      <c r="H16" s="24" t="s">
        <v>2424</v>
      </c>
      <c r="I16" s="24" t="s">
        <v>2443</v>
      </c>
      <c r="J16" s="24" t="s">
        <v>2462</v>
      </c>
      <c r="K16" s="24" t="s">
        <v>2481</v>
      </c>
      <c r="L16" s="24" t="s">
        <v>2500</v>
      </c>
    </row>
    <row r="17" spans="1:12" x14ac:dyDescent="0.2">
      <c r="A17" s="24" t="s">
        <v>2292</v>
      </c>
      <c r="B17" s="24" t="s">
        <v>2311</v>
      </c>
      <c r="C17" s="24" t="s">
        <v>2330</v>
      </c>
      <c r="D17" s="24" t="s">
        <v>2349</v>
      </c>
      <c r="E17" s="24" t="s">
        <v>2368</v>
      </c>
      <c r="F17" s="24" t="s">
        <v>2387</v>
      </c>
      <c r="G17" s="24" t="s">
        <v>2406</v>
      </c>
      <c r="H17" s="24" t="s">
        <v>2425</v>
      </c>
      <c r="I17" s="24" t="s">
        <v>2444</v>
      </c>
      <c r="J17" s="24" t="s">
        <v>2463</v>
      </c>
      <c r="K17" s="24" t="s">
        <v>2482</v>
      </c>
      <c r="L17" s="24" t="s">
        <v>2501</v>
      </c>
    </row>
    <row r="18" spans="1:12" x14ac:dyDescent="0.2">
      <c r="A18" s="24" t="s">
        <v>2293</v>
      </c>
      <c r="B18" s="24" t="s">
        <v>2312</v>
      </c>
      <c r="C18" s="24" t="s">
        <v>2331</v>
      </c>
      <c r="D18" s="24" t="s">
        <v>2350</v>
      </c>
      <c r="E18" s="24" t="s">
        <v>2369</v>
      </c>
      <c r="F18" s="24" t="s">
        <v>2388</v>
      </c>
      <c r="G18" s="24" t="s">
        <v>2407</v>
      </c>
      <c r="H18" s="24" t="s">
        <v>2426</v>
      </c>
      <c r="I18" s="24" t="s">
        <v>2445</v>
      </c>
      <c r="J18" s="24" t="s">
        <v>2464</v>
      </c>
      <c r="K18" s="24" t="s">
        <v>2483</v>
      </c>
      <c r="L18" s="24" t="s">
        <v>2502</v>
      </c>
    </row>
    <row r="19" spans="1:12" x14ac:dyDescent="0.2">
      <c r="A19" s="24" t="s">
        <v>2294</v>
      </c>
      <c r="B19" s="24" t="s">
        <v>2313</v>
      </c>
      <c r="C19" s="24" t="s">
        <v>2332</v>
      </c>
      <c r="D19" s="24" t="s">
        <v>2351</v>
      </c>
      <c r="E19" s="24" t="s">
        <v>2370</v>
      </c>
      <c r="F19" s="24" t="s">
        <v>2389</v>
      </c>
      <c r="G19" s="24" t="s">
        <v>2408</v>
      </c>
      <c r="H19" s="24" t="s">
        <v>2427</v>
      </c>
      <c r="I19" s="24" t="s">
        <v>2446</v>
      </c>
      <c r="J19" s="24" t="s">
        <v>2465</v>
      </c>
      <c r="K19" s="24" t="s">
        <v>2484</v>
      </c>
      <c r="L19" s="24" t="s">
        <v>2503</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2" tint="-0.24994659260841701"/>
  </sheetPr>
  <dimension ref="A1:E13"/>
  <sheetViews>
    <sheetView zoomScale="89" zoomScaleNormal="89" workbookViewId="0">
      <selection activeCell="AH76" sqref="AH76"/>
    </sheetView>
  </sheetViews>
  <sheetFormatPr baseColWidth="10" defaultColWidth="8.83203125" defaultRowHeight="15" x14ac:dyDescent="0.2"/>
  <cols>
    <col min="1" max="1" width="10.6640625" style="130" customWidth="1"/>
    <col min="2" max="16384" width="8.83203125" style="130"/>
  </cols>
  <sheetData>
    <row r="1" spans="1:5" x14ac:dyDescent="0.2">
      <c r="A1" s="130" t="s">
        <v>2504</v>
      </c>
      <c r="B1" s="130" t="s">
        <v>2517</v>
      </c>
      <c r="C1" s="130" t="s">
        <v>2530</v>
      </c>
      <c r="D1" s="130" t="s">
        <v>2543</v>
      </c>
      <c r="E1" s="130" t="s">
        <v>2556</v>
      </c>
    </row>
    <row r="2" spans="1:5" x14ac:dyDescent="0.2">
      <c r="A2" s="130" t="s">
        <v>2505</v>
      </c>
      <c r="B2" s="130" t="s">
        <v>2518</v>
      </c>
      <c r="C2" s="130" t="s">
        <v>2531</v>
      </c>
      <c r="D2" s="130" t="s">
        <v>2544</v>
      </c>
      <c r="E2" s="130" t="s">
        <v>2557</v>
      </c>
    </row>
    <row r="3" spans="1:5" x14ac:dyDescent="0.2">
      <c r="A3" s="130" t="s">
        <v>2506</v>
      </c>
      <c r="B3" s="130" t="s">
        <v>2519</v>
      </c>
      <c r="C3" s="130" t="s">
        <v>2532</v>
      </c>
      <c r="D3" s="130" t="s">
        <v>2545</v>
      </c>
      <c r="E3" s="130" t="s">
        <v>2558</v>
      </c>
    </row>
    <row r="4" spans="1:5" x14ac:dyDescent="0.2">
      <c r="A4" s="130" t="s">
        <v>2507</v>
      </c>
      <c r="B4" s="130" t="s">
        <v>2520</v>
      </c>
      <c r="C4" s="130" t="s">
        <v>2533</v>
      </c>
      <c r="D4" s="130" t="s">
        <v>2546</v>
      </c>
      <c r="E4" s="130" t="s">
        <v>2559</v>
      </c>
    </row>
    <row r="5" spans="1:5" x14ac:dyDescent="0.2">
      <c r="A5" s="130" t="s">
        <v>2508</v>
      </c>
      <c r="B5" s="130" t="s">
        <v>2521</v>
      </c>
      <c r="C5" s="130" t="s">
        <v>2534</v>
      </c>
      <c r="D5" s="130" t="s">
        <v>2547</v>
      </c>
      <c r="E5" s="130" t="s">
        <v>2560</v>
      </c>
    </row>
    <row r="6" spans="1:5" x14ac:dyDescent="0.2">
      <c r="A6" s="130" t="s">
        <v>2509</v>
      </c>
      <c r="B6" s="130" t="s">
        <v>2522</v>
      </c>
      <c r="C6" s="130" t="s">
        <v>2535</v>
      </c>
      <c r="D6" s="130" t="s">
        <v>2548</v>
      </c>
      <c r="E6" s="130" t="s">
        <v>2561</v>
      </c>
    </row>
    <row r="7" spans="1:5" x14ac:dyDescent="0.2">
      <c r="A7" s="130" t="s">
        <v>2510</v>
      </c>
      <c r="B7" s="130" t="s">
        <v>2523</v>
      </c>
      <c r="C7" s="130" t="s">
        <v>2536</v>
      </c>
      <c r="D7" s="130" t="s">
        <v>2549</v>
      </c>
      <c r="E7" s="130" t="s">
        <v>2562</v>
      </c>
    </row>
    <row r="8" spans="1:5" x14ac:dyDescent="0.2">
      <c r="A8" s="130" t="s">
        <v>2511</v>
      </c>
      <c r="B8" s="130" t="s">
        <v>2524</v>
      </c>
      <c r="C8" s="130" t="s">
        <v>2537</v>
      </c>
      <c r="D8" s="130" t="s">
        <v>2550</v>
      </c>
      <c r="E8" s="130" t="s">
        <v>2563</v>
      </c>
    </row>
    <row r="9" spans="1:5" x14ac:dyDescent="0.2">
      <c r="A9" s="130" t="s">
        <v>2512</v>
      </c>
      <c r="B9" s="130" t="s">
        <v>2525</v>
      </c>
      <c r="C9" s="130" t="s">
        <v>2538</v>
      </c>
      <c r="D9" s="130" t="s">
        <v>2551</v>
      </c>
      <c r="E9" s="130" t="s">
        <v>2564</v>
      </c>
    </row>
    <row r="10" spans="1:5" x14ac:dyDescent="0.2">
      <c r="A10" s="130" t="s">
        <v>2513</v>
      </c>
      <c r="B10" s="130" t="s">
        <v>2526</v>
      </c>
      <c r="C10" s="130" t="s">
        <v>2539</v>
      </c>
      <c r="D10" s="130" t="s">
        <v>2552</v>
      </c>
      <c r="E10" s="130" t="s">
        <v>2565</v>
      </c>
    </row>
    <row r="11" spans="1:5" x14ac:dyDescent="0.2">
      <c r="A11" s="130" t="s">
        <v>2514</v>
      </c>
      <c r="B11" s="130" t="s">
        <v>2527</v>
      </c>
      <c r="C11" s="130" t="s">
        <v>2540</v>
      </c>
      <c r="D11" s="130" t="s">
        <v>2553</v>
      </c>
      <c r="E11" s="130" t="s">
        <v>2566</v>
      </c>
    </row>
    <row r="12" spans="1:5" x14ac:dyDescent="0.2">
      <c r="A12" s="130" t="s">
        <v>2515</v>
      </c>
      <c r="B12" s="130" t="s">
        <v>2528</v>
      </c>
      <c r="C12" s="130" t="s">
        <v>2541</v>
      </c>
      <c r="D12" s="130" t="s">
        <v>2554</v>
      </c>
      <c r="E12" s="130" t="s">
        <v>2567</v>
      </c>
    </row>
    <row r="13" spans="1:5" x14ac:dyDescent="0.2">
      <c r="A13" s="130" t="s">
        <v>2516</v>
      </c>
      <c r="B13" s="130" t="s">
        <v>2529</v>
      </c>
      <c r="C13" s="130" t="s">
        <v>2542</v>
      </c>
      <c r="D13" s="130" t="s">
        <v>2555</v>
      </c>
      <c r="E13" s="130" t="s">
        <v>2568</v>
      </c>
    </row>
  </sheetData>
  <pageMargins left="0.78749999999999998" right="0.78749999999999998" top="1.0527777777778" bottom="1.0527777777778" header="0.78749999999999998" footer="0.78749999999999998"/>
  <pageSetup firstPageNumber="0" orientation="portrait" horizontalDpi="300" verticalDpi="300" r:id="rId1"/>
  <headerFooter>
    <oddHeader>&amp;C&amp;"Times New Roman,Regular"&amp;12&amp;A</oddHeader>
    <oddFooter>&amp;C&amp;"Times New Roman,Regular"&amp;12Page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2" tint="-0.24994659260841701"/>
  </sheetPr>
  <dimension ref="A1:B14"/>
  <sheetViews>
    <sheetView workbookViewId="0">
      <selection activeCell="AH76" sqref="AH76"/>
    </sheetView>
  </sheetViews>
  <sheetFormatPr baseColWidth="10" defaultColWidth="8.83203125" defaultRowHeight="15" x14ac:dyDescent="0.2"/>
  <cols>
    <col min="1" max="1" width="32" style="130" bestFit="1" customWidth="1"/>
    <col min="2" max="2" width="20.5" style="130" customWidth="1"/>
    <col min="3" max="16384" width="8.83203125" style="130"/>
  </cols>
  <sheetData>
    <row r="1" spans="1:2" x14ac:dyDescent="0.2">
      <c r="A1" s="130" t="s">
        <v>2569</v>
      </c>
      <c r="B1" s="130" t="s">
        <v>2583</v>
      </c>
    </row>
    <row r="2" spans="1:2" x14ac:dyDescent="0.2">
      <c r="A2" s="130" t="s">
        <v>2570</v>
      </c>
      <c r="B2" s="130" t="s">
        <v>2584</v>
      </c>
    </row>
    <row r="3" spans="1:2" x14ac:dyDescent="0.2">
      <c r="A3" s="130" t="s">
        <v>2571</v>
      </c>
      <c r="B3" s="130" t="s">
        <v>2585</v>
      </c>
    </row>
    <row r="4" spans="1:2" x14ac:dyDescent="0.2">
      <c r="A4" s="130" t="s">
        <v>2572</v>
      </c>
      <c r="B4" s="130" t="s">
        <v>2586</v>
      </c>
    </row>
    <row r="5" spans="1:2" x14ac:dyDescent="0.2">
      <c r="A5" s="130" t="s">
        <v>2573</v>
      </c>
      <c r="B5" s="130" t="s">
        <v>2587</v>
      </c>
    </row>
    <row r="6" spans="1:2" x14ac:dyDescent="0.2">
      <c r="A6" s="130" t="s">
        <v>2574</v>
      </c>
      <c r="B6" s="130" t="s">
        <v>2588</v>
      </c>
    </row>
    <row r="7" spans="1:2" x14ac:dyDescent="0.2">
      <c r="A7" s="130" t="s">
        <v>2575</v>
      </c>
      <c r="B7" s="130" t="s">
        <v>2589</v>
      </c>
    </row>
    <row r="8" spans="1:2" x14ac:dyDescent="0.2">
      <c r="A8" s="130" t="s">
        <v>2576</v>
      </c>
      <c r="B8" s="130" t="s">
        <v>2590</v>
      </c>
    </row>
    <row r="9" spans="1:2" x14ac:dyDescent="0.2">
      <c r="A9" s="130" t="s">
        <v>2577</v>
      </c>
      <c r="B9" s="130" t="s">
        <v>2591</v>
      </c>
    </row>
    <row r="10" spans="1:2" x14ac:dyDescent="0.2">
      <c r="A10" s="130" t="s">
        <v>2578</v>
      </c>
      <c r="B10" s="130" t="s">
        <v>2592</v>
      </c>
    </row>
    <row r="11" spans="1:2" x14ac:dyDescent="0.2">
      <c r="A11" s="130" t="s">
        <v>2579</v>
      </c>
      <c r="B11" s="130" t="s">
        <v>2593</v>
      </c>
    </row>
    <row r="12" spans="1:2" x14ac:dyDescent="0.2">
      <c r="A12" s="130" t="s">
        <v>2580</v>
      </c>
      <c r="B12" s="130" t="s">
        <v>2594</v>
      </c>
    </row>
    <row r="13" spans="1:2" x14ac:dyDescent="0.2">
      <c r="A13" s="130" t="s">
        <v>2581</v>
      </c>
      <c r="B13" s="130" t="s">
        <v>2595</v>
      </c>
    </row>
    <row r="14" spans="1:2" x14ac:dyDescent="0.2">
      <c r="A14" s="130" t="s">
        <v>2582</v>
      </c>
      <c r="B14" s="130" t="s">
        <v>2596</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4" tint="0.39997558519241921"/>
  </sheetPr>
  <dimension ref="A1:S11"/>
  <sheetViews>
    <sheetView workbookViewId="0">
      <selection activeCell="K41" sqref="K41"/>
    </sheetView>
  </sheetViews>
  <sheetFormatPr baseColWidth="10" defaultColWidth="10.83203125" defaultRowHeight="16" x14ac:dyDescent="0.2"/>
  <cols>
    <col min="1" max="16384" width="10.83203125" style="178"/>
  </cols>
  <sheetData>
    <row r="1" spans="1:19" x14ac:dyDescent="0.2">
      <c r="A1"/>
      <c r="B1">
        <v>-1</v>
      </c>
      <c r="C1">
        <v>-2</v>
      </c>
      <c r="D1">
        <v>-3</v>
      </c>
      <c r="E1">
        <v>-4</v>
      </c>
      <c r="F1">
        <v>-5</v>
      </c>
      <c r="G1">
        <v>-6</v>
      </c>
      <c r="H1">
        <v>-7</v>
      </c>
      <c r="I1">
        <v>-8</v>
      </c>
      <c r="J1">
        <v>-9</v>
      </c>
      <c r="K1">
        <v>-10</v>
      </c>
      <c r="L1">
        <v>-11</v>
      </c>
      <c r="M1">
        <v>-12</v>
      </c>
      <c r="N1">
        <v>-13</v>
      </c>
      <c r="O1">
        <v>-14</v>
      </c>
      <c r="P1">
        <v>-15</v>
      </c>
      <c r="Q1">
        <v>-16</v>
      </c>
      <c r="R1">
        <v>-17</v>
      </c>
      <c r="S1">
        <v>-18</v>
      </c>
    </row>
    <row r="2" spans="1:19" x14ac:dyDescent="0.2">
      <c r="A2"/>
      <c r="B2" t="s">
        <v>2686</v>
      </c>
      <c r="C2" t="s">
        <v>2685</v>
      </c>
      <c r="D2" t="s">
        <v>2684</v>
      </c>
      <c r="E2" t="s">
        <v>2683</v>
      </c>
      <c r="F2" t="s">
        <v>2682</v>
      </c>
      <c r="G2" t="s">
        <v>2681</v>
      </c>
      <c r="H2" t="s">
        <v>2680</v>
      </c>
      <c r="I2" t="s">
        <v>2679</v>
      </c>
      <c r="J2" t="s">
        <v>2678</v>
      </c>
      <c r="K2" t="s">
        <v>2677</v>
      </c>
      <c r="L2" t="s">
        <v>2676</v>
      </c>
      <c r="M2" t="s">
        <v>2675</v>
      </c>
      <c r="N2" t="s">
        <v>2674</v>
      </c>
      <c r="O2" t="s">
        <v>2673</v>
      </c>
      <c r="P2" t="s">
        <v>2672</v>
      </c>
      <c r="Q2" t="s">
        <v>2671</v>
      </c>
      <c r="R2" t="s">
        <v>2670</v>
      </c>
      <c r="S2" t="s">
        <v>2669</v>
      </c>
    </row>
    <row r="3" spans="1:19" x14ac:dyDescent="0.2">
      <c r="A3" t="s">
        <v>2668</v>
      </c>
      <c r="B3" t="s">
        <v>2520</v>
      </c>
      <c r="C3" t="s">
        <v>2667</v>
      </c>
      <c r="D3" t="s">
        <v>2666</v>
      </c>
      <c r="E3" t="s">
        <v>2665</v>
      </c>
      <c r="F3" t="s">
        <v>2664</v>
      </c>
      <c r="G3" t="s">
        <v>2663</v>
      </c>
      <c r="H3" t="s">
        <v>2662</v>
      </c>
      <c r="I3" t="s">
        <v>2661</v>
      </c>
      <c r="J3" t="s">
        <v>2660</v>
      </c>
      <c r="K3" t="s">
        <v>2659</v>
      </c>
      <c r="L3" t="s">
        <v>2658</v>
      </c>
      <c r="M3" t="s">
        <v>2657</v>
      </c>
      <c r="N3" t="s">
        <v>2656</v>
      </c>
      <c r="O3" t="s">
        <v>2655</v>
      </c>
      <c r="P3" t="s">
        <v>2654</v>
      </c>
      <c r="Q3" t="s">
        <v>2653</v>
      </c>
      <c r="R3" t="s">
        <v>2652</v>
      </c>
      <c r="S3" t="s">
        <v>2651</v>
      </c>
    </row>
    <row r="4" spans="1:19" x14ac:dyDescent="0.2">
      <c r="A4"/>
      <c r="B4"/>
      <c r="C4"/>
      <c r="D4"/>
      <c r="E4"/>
      <c r="F4"/>
      <c r="G4"/>
      <c r="H4"/>
      <c r="I4"/>
      <c r="J4"/>
      <c r="K4"/>
      <c r="L4"/>
      <c r="M4"/>
      <c r="N4"/>
      <c r="O4"/>
      <c r="P4"/>
      <c r="Q4"/>
      <c r="R4"/>
      <c r="S4"/>
    </row>
    <row r="5" spans="1:19" x14ac:dyDescent="0.2">
      <c r="A5" t="s">
        <v>2650</v>
      </c>
      <c r="B5">
        <v>6.7650000000000002E-2</v>
      </c>
      <c r="C5">
        <v>5.8999999999999997E-2</v>
      </c>
      <c r="D5">
        <v>5.6189999999999997E-2</v>
      </c>
      <c r="E5">
        <v>7.8369999999999995E-2</v>
      </c>
      <c r="F5">
        <v>5.9360000000000003E-2</v>
      </c>
      <c r="G5">
        <v>6.0069999999999998E-2</v>
      </c>
      <c r="H5">
        <v>3.117E-2</v>
      </c>
      <c r="I5">
        <v>4.9579999999999999E-2</v>
      </c>
      <c r="J5">
        <v>4.8719999999999999E-2</v>
      </c>
      <c r="K5">
        <v>2.7820000000000001E-2</v>
      </c>
      <c r="L5">
        <v>4.5620000000000001E-2</v>
      </c>
      <c r="M5">
        <v>5.0040000000000001E-2</v>
      </c>
      <c r="N5">
        <v>8.158E-2</v>
      </c>
      <c r="O5">
        <v>6.973E-2</v>
      </c>
      <c r="P5">
        <v>6.479E-2</v>
      </c>
      <c r="Q5">
        <v>9.1889999999999999E-2</v>
      </c>
      <c r="R5">
        <v>7.2440000000000004E-2</v>
      </c>
      <c r="S5">
        <v>6.8839999999999998E-2</v>
      </c>
    </row>
    <row r="6" spans="1:19" x14ac:dyDescent="0.2">
      <c r="A6"/>
      <c r="B6">
        <v>9.9900000000000006E-3</v>
      </c>
      <c r="C6">
        <v>4.8399999999999997E-3</v>
      </c>
      <c r="D6">
        <v>4.4600000000000004E-3</v>
      </c>
      <c r="E6">
        <v>1.2959999999999999E-2</v>
      </c>
      <c r="F6">
        <v>6.5500000000000003E-3</v>
      </c>
      <c r="G6">
        <v>6.1399999999999996E-3</v>
      </c>
      <c r="H6">
        <v>4.47E-3</v>
      </c>
      <c r="I6">
        <v>3.7299999999999998E-3</v>
      </c>
      <c r="J6">
        <v>3.9199999999999999E-3</v>
      </c>
      <c r="K6">
        <v>5.4599999999999996E-3</v>
      </c>
      <c r="L6">
        <v>4.8799999999999998E-3</v>
      </c>
      <c r="M6">
        <v>5.4099999999999999E-3</v>
      </c>
      <c r="N6">
        <v>9.3500000000000007E-3</v>
      </c>
      <c r="O6">
        <v>5.4099999999999999E-3</v>
      </c>
      <c r="P6">
        <v>4.6499999999999996E-3</v>
      </c>
      <c r="Q6">
        <v>1.304E-2</v>
      </c>
      <c r="R6">
        <v>7.3099999999999997E-3</v>
      </c>
      <c r="S6">
        <v>6.0699999999999999E-3</v>
      </c>
    </row>
    <row r="7" spans="1:19" x14ac:dyDescent="0.2">
      <c r="A7" t="s">
        <v>2649</v>
      </c>
      <c r="B7">
        <v>1.7835300000000001</v>
      </c>
      <c r="C7">
        <v>-0.94182999999999995</v>
      </c>
      <c r="D7">
        <v>-0.89705999999999997</v>
      </c>
      <c r="E7">
        <v>8.9656900000000004</v>
      </c>
      <c r="F7">
        <v>-0.94752000000000003</v>
      </c>
      <c r="G7">
        <v>-0.95894999999999997</v>
      </c>
      <c r="H7">
        <v>2.15299</v>
      </c>
      <c r="I7">
        <v>-0.77802000000000004</v>
      </c>
      <c r="J7">
        <v>-0.76449999999999996</v>
      </c>
      <c r="K7">
        <v>9.5093399999999999</v>
      </c>
      <c r="L7">
        <v>-0.71580999999999995</v>
      </c>
      <c r="M7">
        <v>-0.78515999999999997</v>
      </c>
      <c r="N7">
        <v>1.7328399999999999</v>
      </c>
      <c r="O7">
        <v>-1.12199</v>
      </c>
      <c r="P7">
        <v>-1.04226</v>
      </c>
      <c r="Q7">
        <v>8.9799600000000002</v>
      </c>
      <c r="R7">
        <v>-1.16517</v>
      </c>
      <c r="S7">
        <v>-1.10707</v>
      </c>
    </row>
    <row r="8" spans="1:19" x14ac:dyDescent="0.2">
      <c r="A8"/>
      <c r="B8">
        <v>0.1489</v>
      </c>
      <c r="C8">
        <v>7.1279999999999996E-2</v>
      </c>
      <c r="D8">
        <v>6.565E-2</v>
      </c>
      <c r="E8">
        <v>0.19399</v>
      </c>
      <c r="F8">
        <v>9.7540000000000002E-2</v>
      </c>
      <c r="G8">
        <v>9.1310000000000002E-2</v>
      </c>
      <c r="H8">
        <v>6.6119999999999998E-2</v>
      </c>
      <c r="I8">
        <v>5.4789999999999998E-2</v>
      </c>
      <c r="J8">
        <v>5.7660000000000003E-2</v>
      </c>
      <c r="K8">
        <v>8.1790000000000002E-2</v>
      </c>
      <c r="L8">
        <v>7.2590000000000002E-2</v>
      </c>
      <c r="M8">
        <v>8.0570000000000003E-2</v>
      </c>
      <c r="N8">
        <v>0.13919000000000001</v>
      </c>
      <c r="O8">
        <v>7.9710000000000003E-2</v>
      </c>
      <c r="P8">
        <v>6.8349999999999994E-2</v>
      </c>
      <c r="Q8">
        <v>0.19524</v>
      </c>
      <c r="R8">
        <v>0.10885</v>
      </c>
      <c r="S8">
        <v>9.0139999999999998E-2</v>
      </c>
    </row>
    <row r="9" spans="1:19" x14ac:dyDescent="0.2">
      <c r="A9"/>
      <c r="B9"/>
      <c r="C9"/>
      <c r="D9"/>
      <c r="E9"/>
      <c r="F9"/>
      <c r="G9"/>
      <c r="H9"/>
      <c r="I9"/>
      <c r="J9"/>
      <c r="K9"/>
      <c r="L9"/>
      <c r="M9"/>
      <c r="N9"/>
      <c r="O9"/>
      <c r="P9"/>
      <c r="Q9"/>
      <c r="R9"/>
      <c r="S9"/>
    </row>
    <row r="10" spans="1:19" x14ac:dyDescent="0.2">
      <c r="A10" t="s">
        <v>279</v>
      </c>
      <c r="B10">
        <v>691</v>
      </c>
      <c r="C10">
        <v>691</v>
      </c>
      <c r="D10">
        <v>691</v>
      </c>
      <c r="E10">
        <v>691</v>
      </c>
      <c r="F10">
        <v>691</v>
      </c>
      <c r="G10">
        <v>691</v>
      </c>
      <c r="H10">
        <v>691</v>
      </c>
      <c r="I10">
        <v>691</v>
      </c>
      <c r="J10">
        <v>691</v>
      </c>
      <c r="K10">
        <v>691</v>
      </c>
      <c r="L10">
        <v>691</v>
      </c>
      <c r="M10">
        <v>691</v>
      </c>
      <c r="N10">
        <v>691</v>
      </c>
      <c r="O10">
        <v>691</v>
      </c>
      <c r="P10">
        <v>691</v>
      </c>
      <c r="Q10">
        <v>691</v>
      </c>
      <c r="R10">
        <v>691</v>
      </c>
      <c r="S10">
        <v>691</v>
      </c>
    </row>
    <row r="11" spans="1:19" x14ac:dyDescent="0.2">
      <c r="A11" t="s">
        <v>46</v>
      </c>
      <c r="B11">
        <v>0.49731999999999998</v>
      </c>
      <c r="C11">
        <v>0.60724</v>
      </c>
      <c r="D11">
        <v>0.60480999999999996</v>
      </c>
      <c r="E11">
        <v>0.48929</v>
      </c>
      <c r="F11">
        <v>0.54144000000000003</v>
      </c>
      <c r="G11">
        <v>0.59033000000000002</v>
      </c>
      <c r="H11">
        <v>0.30757000000000001</v>
      </c>
      <c r="I11">
        <v>0.54774</v>
      </c>
      <c r="J11">
        <v>0.54706999999999995</v>
      </c>
      <c r="K11">
        <v>0.21368999999999999</v>
      </c>
      <c r="L11">
        <v>0.42638999999999999</v>
      </c>
      <c r="M11">
        <v>0.51114999999999999</v>
      </c>
      <c r="N11">
        <v>0.59079999999999999</v>
      </c>
      <c r="O11">
        <v>0.65808</v>
      </c>
      <c r="P11">
        <v>0.65464</v>
      </c>
      <c r="Q11">
        <v>0.55069999999999997</v>
      </c>
      <c r="R11">
        <v>0.60650999999999999</v>
      </c>
      <c r="S11">
        <v>0.63822999999999996</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4" tint="0.39997558519241921"/>
  </sheetPr>
  <dimension ref="A1:AK15"/>
  <sheetViews>
    <sheetView workbookViewId="0">
      <selection activeCell="K41" sqref="K41"/>
    </sheetView>
  </sheetViews>
  <sheetFormatPr baseColWidth="10" defaultColWidth="10.83203125" defaultRowHeight="16" x14ac:dyDescent="0.2"/>
  <cols>
    <col min="1" max="16384" width="10.83203125" style="178"/>
  </cols>
  <sheetData>
    <row r="1" spans="1:37" x14ac:dyDescent="0.2">
      <c r="A1"/>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c r="AG1">
        <v>-32</v>
      </c>
      <c r="AH1">
        <v>-33</v>
      </c>
      <c r="AI1">
        <v>-34</v>
      </c>
      <c r="AJ1">
        <v>-35</v>
      </c>
      <c r="AK1">
        <v>-36</v>
      </c>
    </row>
    <row r="2" spans="1:37" x14ac:dyDescent="0.2">
      <c r="A2"/>
      <c r="B2" t="s">
        <v>2734</v>
      </c>
      <c r="C2" t="s">
        <v>2733</v>
      </c>
      <c r="D2" t="s">
        <v>2732</v>
      </c>
      <c r="E2" t="s">
        <v>2731</v>
      </c>
      <c r="F2" t="s">
        <v>2730</v>
      </c>
      <c r="G2" t="s">
        <v>2729</v>
      </c>
      <c r="H2" t="s">
        <v>2728</v>
      </c>
      <c r="I2" t="s">
        <v>2727</v>
      </c>
      <c r="J2" t="s">
        <v>2726</v>
      </c>
      <c r="K2" t="s">
        <v>2725</v>
      </c>
      <c r="L2" t="s">
        <v>2724</v>
      </c>
      <c r="M2" t="s">
        <v>2723</v>
      </c>
      <c r="N2" t="s">
        <v>2722</v>
      </c>
      <c r="O2" t="s">
        <v>2721</v>
      </c>
      <c r="P2" t="s">
        <v>2720</v>
      </c>
      <c r="Q2" t="s">
        <v>2719</v>
      </c>
      <c r="R2" t="s">
        <v>2718</v>
      </c>
      <c r="S2" t="s">
        <v>2717</v>
      </c>
      <c r="T2" t="s">
        <v>2716</v>
      </c>
      <c r="U2" t="s">
        <v>2715</v>
      </c>
      <c r="V2" t="s">
        <v>2714</v>
      </c>
      <c r="W2" t="s">
        <v>2713</v>
      </c>
      <c r="X2" t="s">
        <v>2712</v>
      </c>
      <c r="Y2" t="s">
        <v>2711</v>
      </c>
      <c r="Z2" t="s">
        <v>2710</v>
      </c>
      <c r="AA2" t="s">
        <v>2709</v>
      </c>
      <c r="AB2" t="s">
        <v>2708</v>
      </c>
      <c r="AC2" t="s">
        <v>2707</v>
      </c>
      <c r="AD2" t="s">
        <v>2706</v>
      </c>
      <c r="AE2" t="s">
        <v>2705</v>
      </c>
      <c r="AF2" t="s">
        <v>2704</v>
      </c>
      <c r="AG2" t="s">
        <v>2703</v>
      </c>
      <c r="AH2" t="s">
        <v>2702</v>
      </c>
      <c r="AI2" t="s">
        <v>2701</v>
      </c>
      <c r="AJ2" t="s">
        <v>2700</v>
      </c>
      <c r="AK2" t="s">
        <v>2699</v>
      </c>
    </row>
    <row r="3" spans="1:37" x14ac:dyDescent="0.2">
      <c r="A3" t="s">
        <v>2668</v>
      </c>
      <c r="B3" t="s">
        <v>2698</v>
      </c>
      <c r="C3" t="s">
        <v>2698</v>
      </c>
      <c r="D3" t="s">
        <v>2698</v>
      </c>
      <c r="E3" t="s">
        <v>2697</v>
      </c>
      <c r="F3" t="s">
        <v>2697</v>
      </c>
      <c r="G3" t="s">
        <v>2697</v>
      </c>
      <c r="H3" t="s">
        <v>2696</v>
      </c>
      <c r="I3" t="s">
        <v>2696</v>
      </c>
      <c r="J3" t="s">
        <v>2696</v>
      </c>
      <c r="K3" t="s">
        <v>2695</v>
      </c>
      <c r="L3" t="s">
        <v>2695</v>
      </c>
      <c r="M3" t="s">
        <v>2695</v>
      </c>
      <c r="N3" t="s">
        <v>2694</v>
      </c>
      <c r="O3" t="s">
        <v>2694</v>
      </c>
      <c r="P3" t="s">
        <v>2694</v>
      </c>
      <c r="Q3" t="s">
        <v>2693</v>
      </c>
      <c r="R3" t="s">
        <v>2693</v>
      </c>
      <c r="S3" t="s">
        <v>2693</v>
      </c>
      <c r="T3" t="s">
        <v>2692</v>
      </c>
      <c r="U3" t="s">
        <v>2692</v>
      </c>
      <c r="V3" t="s">
        <v>2692</v>
      </c>
      <c r="W3" t="s">
        <v>2691</v>
      </c>
      <c r="X3" t="s">
        <v>2691</v>
      </c>
      <c r="Y3" t="s">
        <v>2691</v>
      </c>
      <c r="Z3" t="s">
        <v>2690</v>
      </c>
      <c r="AA3" t="s">
        <v>2690</v>
      </c>
      <c r="AB3" t="s">
        <v>2690</v>
      </c>
      <c r="AC3" t="s">
        <v>2689</v>
      </c>
      <c r="AD3" t="s">
        <v>2689</v>
      </c>
      <c r="AE3" t="s">
        <v>2689</v>
      </c>
      <c r="AF3" t="s">
        <v>2688</v>
      </c>
      <c r="AG3" t="s">
        <v>2688</v>
      </c>
      <c r="AH3" t="s">
        <v>2688</v>
      </c>
      <c r="AI3" t="s">
        <v>2687</v>
      </c>
      <c r="AJ3" t="s">
        <v>2687</v>
      </c>
      <c r="AK3" t="s">
        <v>2687</v>
      </c>
    </row>
    <row r="4" spans="1:37" x14ac:dyDescent="0.2">
      <c r="A4"/>
      <c r="B4"/>
      <c r="C4"/>
      <c r="D4"/>
      <c r="E4"/>
      <c r="F4"/>
      <c r="G4"/>
      <c r="H4"/>
      <c r="I4"/>
      <c r="J4"/>
      <c r="K4"/>
      <c r="L4"/>
      <c r="M4"/>
      <c r="N4"/>
      <c r="O4"/>
      <c r="P4"/>
      <c r="Q4"/>
      <c r="R4"/>
      <c r="S4"/>
      <c r="T4"/>
      <c r="U4"/>
      <c r="V4"/>
      <c r="W4"/>
      <c r="X4"/>
      <c r="Y4"/>
      <c r="Z4"/>
      <c r="AA4"/>
      <c r="AB4"/>
      <c r="AC4"/>
      <c r="AD4"/>
      <c r="AE4"/>
      <c r="AF4"/>
      <c r="AG4"/>
      <c r="AH4"/>
      <c r="AI4"/>
      <c r="AJ4"/>
      <c r="AK4"/>
    </row>
    <row r="5" spans="1:37" x14ac:dyDescent="0.2">
      <c r="A5" t="s">
        <v>2650</v>
      </c>
      <c r="B5">
        <v>5.0400000000000002E-3</v>
      </c>
      <c r="C5"/>
      <c r="D5"/>
      <c r="E5">
        <v>9.5300000000000003E-3</v>
      </c>
      <c r="F5"/>
      <c r="G5"/>
      <c r="H5">
        <v>8.9999999999999998E-4</v>
      </c>
      <c r="I5"/>
      <c r="J5"/>
      <c r="K5">
        <v>-1.7000000000000001E-4</v>
      </c>
      <c r="L5"/>
      <c r="M5"/>
      <c r="N5">
        <v>6.4000000000000005E-4</v>
      </c>
      <c r="O5"/>
      <c r="P5"/>
      <c r="Q5">
        <v>-9.7000000000000005E-4</v>
      </c>
      <c r="R5"/>
      <c r="S5"/>
      <c r="T5">
        <v>11.420249999999999</v>
      </c>
      <c r="U5"/>
      <c r="V5"/>
      <c r="W5">
        <v>15.622529999999999</v>
      </c>
      <c r="X5"/>
      <c r="Y5"/>
      <c r="Z5">
        <v>9.0391399999999997</v>
      </c>
      <c r="AA5"/>
      <c r="AB5"/>
      <c r="AC5">
        <v>-3.8224</v>
      </c>
      <c r="AD5"/>
      <c r="AE5"/>
      <c r="AF5">
        <v>-7.4218599999999997</v>
      </c>
      <c r="AG5"/>
      <c r="AH5"/>
      <c r="AI5">
        <v>1.6930000000000001E-2</v>
      </c>
      <c r="AJ5"/>
      <c r="AK5"/>
    </row>
    <row r="6" spans="1:37" x14ac:dyDescent="0.2">
      <c r="A6"/>
      <c r="B6">
        <v>2.9399999999999999E-3</v>
      </c>
      <c r="C6"/>
      <c r="D6"/>
      <c r="E6">
        <v>2.5699999999999998E-3</v>
      </c>
      <c r="F6"/>
      <c r="G6"/>
      <c r="H6">
        <v>3.5799999999999998E-3</v>
      </c>
      <c r="I6"/>
      <c r="J6"/>
      <c r="K6">
        <v>2.0999999999999999E-3</v>
      </c>
      <c r="L6"/>
      <c r="M6"/>
      <c r="N6">
        <v>2.2000000000000001E-3</v>
      </c>
      <c r="O6"/>
      <c r="P6"/>
      <c r="Q6">
        <v>2.1299999999999999E-3</v>
      </c>
      <c r="R6"/>
      <c r="S6"/>
      <c r="T6">
        <v>8.2738899999999997</v>
      </c>
      <c r="U6"/>
      <c r="V6"/>
      <c r="W6">
        <v>8.2069299999999998</v>
      </c>
      <c r="X6"/>
      <c r="Y6"/>
      <c r="Z6">
        <v>8.9957600000000006</v>
      </c>
      <c r="AA6"/>
      <c r="AB6"/>
      <c r="AC6">
        <v>5.37371</v>
      </c>
      <c r="AD6"/>
      <c r="AE6"/>
      <c r="AF6">
        <v>6.1152800000000003</v>
      </c>
      <c r="AG6"/>
      <c r="AH6"/>
      <c r="AI6">
        <v>4.8956099999999996</v>
      </c>
      <c r="AJ6"/>
      <c r="AK6"/>
    </row>
    <row r="7" spans="1:37" x14ac:dyDescent="0.2">
      <c r="A7" t="s">
        <v>2520</v>
      </c>
      <c r="B7"/>
      <c r="C7">
        <v>0.14940999999999999</v>
      </c>
      <c r="D7"/>
      <c r="E7"/>
      <c r="F7">
        <v>0.16536000000000001</v>
      </c>
      <c r="G7"/>
      <c r="H7"/>
      <c r="I7">
        <v>0.13489999999999999</v>
      </c>
      <c r="J7"/>
      <c r="K7"/>
      <c r="L7">
        <v>6.7919999999999994E-2</v>
      </c>
      <c r="M7"/>
      <c r="N7"/>
      <c r="O7">
        <v>5.8209999999999998E-2</v>
      </c>
      <c r="P7"/>
      <c r="Q7"/>
      <c r="R7">
        <v>7.7530000000000002E-2</v>
      </c>
      <c r="S7"/>
      <c r="T7"/>
      <c r="U7">
        <v>336.90834000000001</v>
      </c>
      <c r="V7"/>
      <c r="W7"/>
      <c r="X7">
        <v>358.57265999999998</v>
      </c>
      <c r="Y7"/>
      <c r="Z7"/>
      <c r="AA7">
        <v>325.49718000000001</v>
      </c>
      <c r="AB7"/>
      <c r="AC7"/>
      <c r="AD7">
        <v>80.262439999999998</v>
      </c>
      <c r="AE7"/>
      <c r="AF7"/>
      <c r="AG7">
        <v>33.67398</v>
      </c>
      <c r="AH7"/>
      <c r="AI7"/>
      <c r="AJ7">
        <v>127.89002000000001</v>
      </c>
      <c r="AK7"/>
    </row>
    <row r="8" spans="1:37" x14ac:dyDescent="0.2">
      <c r="A8"/>
      <c r="B8"/>
      <c r="C8">
        <v>2.1700000000000001E-2</v>
      </c>
      <c r="D8"/>
      <c r="E8"/>
      <c r="F8">
        <v>2.1729999999999999E-2</v>
      </c>
      <c r="G8"/>
      <c r="H8"/>
      <c r="I8">
        <v>2.3560000000000001E-2</v>
      </c>
      <c r="J8"/>
      <c r="K8"/>
      <c r="L8">
        <v>1.7180000000000001E-2</v>
      </c>
      <c r="M8"/>
      <c r="N8"/>
      <c r="O8">
        <v>1.9689999999999999E-2</v>
      </c>
      <c r="P8"/>
      <c r="Q8"/>
      <c r="R8">
        <v>1.5879999999999998E-2</v>
      </c>
      <c r="S8"/>
      <c r="T8"/>
      <c r="U8">
        <v>49.125790000000002</v>
      </c>
      <c r="V8"/>
      <c r="W8"/>
      <c r="X8">
        <v>53.203069999999997</v>
      </c>
      <c r="Y8"/>
      <c r="Z8"/>
      <c r="AA8">
        <v>49.57694</v>
      </c>
      <c r="AB8"/>
      <c r="AC8"/>
      <c r="AD8">
        <v>39.682130000000001</v>
      </c>
      <c r="AE8"/>
      <c r="AF8"/>
      <c r="AG8">
        <v>48.473509999999997</v>
      </c>
      <c r="AH8"/>
      <c r="AI8"/>
      <c r="AJ8">
        <v>34.06794</v>
      </c>
      <c r="AK8"/>
    </row>
    <row r="9" spans="1:37" x14ac:dyDescent="0.2">
      <c r="A9" t="s">
        <v>2667</v>
      </c>
      <c r="B9"/>
      <c r="C9"/>
      <c r="D9">
        <v>0.12023</v>
      </c>
      <c r="E9"/>
      <c r="F9"/>
      <c r="G9">
        <v>0.16633999999999999</v>
      </c>
      <c r="H9"/>
      <c r="I9"/>
      <c r="J9">
        <v>7.5179999999999997E-2</v>
      </c>
      <c r="K9"/>
      <c r="L9"/>
      <c r="M9">
        <v>3.7789999999999997E-2</v>
      </c>
      <c r="N9"/>
      <c r="O9"/>
      <c r="P9">
        <v>3.4689999999999999E-2</v>
      </c>
      <c r="Q9"/>
      <c r="R9"/>
      <c r="S9">
        <v>4.1599999999999998E-2</v>
      </c>
      <c r="T9"/>
      <c r="U9"/>
      <c r="V9">
        <v>283.25414000000001</v>
      </c>
      <c r="W9"/>
      <c r="X9"/>
      <c r="Y9">
        <v>345.52161999999998</v>
      </c>
      <c r="Z9"/>
      <c r="AA9"/>
      <c r="AB9">
        <v>230.21642</v>
      </c>
      <c r="AC9"/>
      <c r="AD9"/>
      <c r="AE9">
        <v>34.34843</v>
      </c>
      <c r="AF9"/>
      <c r="AG9"/>
      <c r="AH9">
        <v>-7.6804100000000002</v>
      </c>
      <c r="AI9"/>
      <c r="AJ9"/>
      <c r="AK9">
        <v>79.462860000000006</v>
      </c>
    </row>
    <row r="10" spans="1:37" x14ac:dyDescent="0.2">
      <c r="A10"/>
      <c r="B10"/>
      <c r="C10"/>
      <c r="D10">
        <v>3.3349999999999998E-2</v>
      </c>
      <c r="E10"/>
      <c r="F10"/>
      <c r="G10">
        <v>3.1759999999999997E-2</v>
      </c>
      <c r="H10"/>
      <c r="I10"/>
      <c r="J10">
        <v>3.8859999999999999E-2</v>
      </c>
      <c r="K10"/>
      <c r="L10"/>
      <c r="M10">
        <v>2.6200000000000001E-2</v>
      </c>
      <c r="N10"/>
      <c r="O10"/>
      <c r="P10">
        <v>2.853E-2</v>
      </c>
      <c r="Q10"/>
      <c r="R10"/>
      <c r="S10">
        <v>2.5760000000000002E-2</v>
      </c>
      <c r="T10"/>
      <c r="U10"/>
      <c r="V10">
        <v>83.078810000000004</v>
      </c>
      <c r="W10"/>
      <c r="X10"/>
      <c r="Y10">
        <v>85.861090000000004</v>
      </c>
      <c r="Z10"/>
      <c r="AA10"/>
      <c r="AB10">
        <v>87.055859999999996</v>
      </c>
      <c r="AC10"/>
      <c r="AD10"/>
      <c r="AE10">
        <v>62.796930000000003</v>
      </c>
      <c r="AF10"/>
      <c r="AG10"/>
      <c r="AH10">
        <v>74.738870000000006</v>
      </c>
      <c r="AI10"/>
      <c r="AJ10"/>
      <c r="AK10">
        <v>54.219880000000003</v>
      </c>
    </row>
    <row r="11" spans="1:37" x14ac:dyDescent="0.2">
      <c r="A11" t="s">
        <v>2649</v>
      </c>
      <c r="B11">
        <v>0.70628999999999997</v>
      </c>
      <c r="C11">
        <v>0.35944999999999999</v>
      </c>
      <c r="D11">
        <v>0.78688000000000002</v>
      </c>
      <c r="E11">
        <v>0.67795000000000005</v>
      </c>
      <c r="F11">
        <v>0.35714000000000001</v>
      </c>
      <c r="G11">
        <v>0.83026999999999995</v>
      </c>
      <c r="H11">
        <v>0.72921999999999998</v>
      </c>
      <c r="I11">
        <v>0.35776999999999998</v>
      </c>
      <c r="J11">
        <v>0.74363000000000001</v>
      </c>
      <c r="K11">
        <v>2.6800000000000001E-3</v>
      </c>
      <c r="L11">
        <v>-0.19422</v>
      </c>
      <c r="M11">
        <v>6.9999999999999994E-5</v>
      </c>
      <c r="N11">
        <v>-1.008E-2</v>
      </c>
      <c r="O11">
        <v>-0.16635</v>
      </c>
      <c r="P11">
        <v>1.4999999999999999E-4</v>
      </c>
      <c r="Q11">
        <v>1.5570000000000001E-2</v>
      </c>
      <c r="R11">
        <v>-0.22165000000000001</v>
      </c>
      <c r="S11">
        <v>1.2E-4</v>
      </c>
      <c r="T11" s="185">
        <v>1294.7994000000001</v>
      </c>
      <c r="U11">
        <v>513.60709999999995</v>
      </c>
      <c r="V11" s="185">
        <v>1477.4634000000001</v>
      </c>
      <c r="W11" s="185">
        <v>1411.0458799999999</v>
      </c>
      <c r="X11">
        <v>634.93178</v>
      </c>
      <c r="Y11" s="185">
        <v>1660.8475900000001</v>
      </c>
      <c r="Z11" s="185">
        <v>1149.73423</v>
      </c>
      <c r="AA11">
        <v>363.19295</v>
      </c>
      <c r="AB11" s="185">
        <v>1294.3239699999999</v>
      </c>
      <c r="AC11">
        <v>60.961539999999999</v>
      </c>
      <c r="AD11">
        <v>-229.50234</v>
      </c>
      <c r="AE11">
        <v>5.8889999999999998E-2</v>
      </c>
      <c r="AF11">
        <v>118.46462</v>
      </c>
      <c r="AG11">
        <v>-96.196039999999996</v>
      </c>
      <c r="AH11">
        <v>7.5730000000000006E-2</v>
      </c>
      <c r="AI11">
        <v>-0.31526999999999999</v>
      </c>
      <c r="AJ11">
        <v>-365.72791999999998</v>
      </c>
      <c r="AK11">
        <v>9.9650000000000002E-2</v>
      </c>
    </row>
    <row r="12" spans="1:37" x14ac:dyDescent="0.2">
      <c r="A12"/>
      <c r="B12">
        <v>4.4269999999999997E-2</v>
      </c>
      <c r="C12">
        <v>6.0100000000000001E-2</v>
      </c>
      <c r="D12">
        <v>3.48E-3</v>
      </c>
      <c r="E12">
        <v>3.866E-2</v>
      </c>
      <c r="F12">
        <v>6.0389999999999999E-2</v>
      </c>
      <c r="G12">
        <v>3.13E-3</v>
      </c>
      <c r="H12">
        <v>5.3900000000000003E-2</v>
      </c>
      <c r="I12">
        <v>6.5089999999999995E-2</v>
      </c>
      <c r="J12">
        <v>4.3800000000000002E-3</v>
      </c>
      <c r="K12">
        <v>3.1690000000000003E-2</v>
      </c>
      <c r="L12">
        <v>4.759E-2</v>
      </c>
      <c r="M12">
        <v>2.7399999999999998E-3</v>
      </c>
      <c r="N12">
        <v>3.3140000000000003E-2</v>
      </c>
      <c r="O12">
        <v>5.4719999999999998E-2</v>
      </c>
      <c r="P12">
        <v>2.8800000000000002E-3</v>
      </c>
      <c r="Q12">
        <v>3.2120000000000003E-2</v>
      </c>
      <c r="R12">
        <v>4.3929999999999997E-2</v>
      </c>
      <c r="S12">
        <v>2.9099999999999998E-3</v>
      </c>
      <c r="T12">
        <v>124.47329999999999</v>
      </c>
      <c r="U12">
        <v>136.10339999999999</v>
      </c>
      <c r="V12">
        <v>9.2794699999999999</v>
      </c>
      <c r="W12">
        <v>123.44435</v>
      </c>
      <c r="X12">
        <v>148.03360000000001</v>
      </c>
      <c r="Y12">
        <v>9.78566</v>
      </c>
      <c r="Z12">
        <v>135.27198000000001</v>
      </c>
      <c r="AA12">
        <v>137.17012</v>
      </c>
      <c r="AB12">
        <v>9.7882899999999999</v>
      </c>
      <c r="AC12">
        <v>80.875820000000004</v>
      </c>
      <c r="AD12">
        <v>110.34395000000001</v>
      </c>
      <c r="AE12">
        <v>7.0603100000000003</v>
      </c>
      <c r="AF12">
        <v>91.884770000000003</v>
      </c>
      <c r="AG12">
        <v>135.42147</v>
      </c>
      <c r="AH12">
        <v>8.7057800000000007</v>
      </c>
      <c r="AI12">
        <v>73.726550000000003</v>
      </c>
      <c r="AJ12">
        <v>94.691879999999998</v>
      </c>
      <c r="AK12">
        <v>6.1537699999999997</v>
      </c>
    </row>
    <row r="13" spans="1:37" x14ac:dyDescent="0.2">
      <c r="A13"/>
      <c r="B13"/>
      <c r="C13"/>
      <c r="D13"/>
      <c r="E13"/>
      <c r="F13"/>
      <c r="G13"/>
      <c r="H13"/>
      <c r="I13"/>
      <c r="J13"/>
      <c r="K13"/>
      <c r="L13"/>
      <c r="M13"/>
      <c r="N13"/>
      <c r="O13"/>
      <c r="P13"/>
      <c r="Q13"/>
      <c r="R13"/>
      <c r="S13"/>
      <c r="T13"/>
      <c r="U13"/>
      <c r="V13"/>
      <c r="W13"/>
      <c r="X13"/>
      <c r="Y13"/>
      <c r="Z13"/>
      <c r="AA13"/>
      <c r="AB13"/>
      <c r="AC13"/>
      <c r="AD13"/>
      <c r="AE13"/>
      <c r="AF13"/>
      <c r="AG13"/>
      <c r="AH13"/>
      <c r="AI13"/>
      <c r="AJ13"/>
      <c r="AK13"/>
    </row>
    <row r="14" spans="1:37" x14ac:dyDescent="0.2">
      <c r="A14" t="s">
        <v>279</v>
      </c>
      <c r="B14">
        <v>691</v>
      </c>
      <c r="C14">
        <v>691</v>
      </c>
      <c r="D14">
        <v>691</v>
      </c>
      <c r="E14">
        <v>691</v>
      </c>
      <c r="F14">
        <v>691</v>
      </c>
      <c r="G14">
        <v>691</v>
      </c>
      <c r="H14">
        <v>691</v>
      </c>
      <c r="I14">
        <v>691</v>
      </c>
      <c r="J14">
        <v>691</v>
      </c>
      <c r="K14">
        <v>691</v>
      </c>
      <c r="L14">
        <v>691</v>
      </c>
      <c r="M14">
        <v>691</v>
      </c>
      <c r="N14">
        <v>691</v>
      </c>
      <c r="O14">
        <v>691</v>
      </c>
      <c r="P14">
        <v>691</v>
      </c>
      <c r="Q14">
        <v>691</v>
      </c>
      <c r="R14">
        <v>691</v>
      </c>
      <c r="S14">
        <v>691</v>
      </c>
      <c r="T14">
        <v>691</v>
      </c>
      <c r="U14">
        <v>691</v>
      </c>
      <c r="V14">
        <v>691</v>
      </c>
      <c r="W14">
        <v>691</v>
      </c>
      <c r="X14">
        <v>691</v>
      </c>
      <c r="Y14">
        <v>691</v>
      </c>
      <c r="Z14">
        <v>691</v>
      </c>
      <c r="AA14">
        <v>691</v>
      </c>
      <c r="AB14">
        <v>691</v>
      </c>
      <c r="AC14">
        <v>691</v>
      </c>
      <c r="AD14">
        <v>691</v>
      </c>
      <c r="AE14">
        <v>691</v>
      </c>
      <c r="AF14">
        <v>691</v>
      </c>
      <c r="AG14">
        <v>691</v>
      </c>
      <c r="AH14">
        <v>691</v>
      </c>
      <c r="AI14">
        <v>691</v>
      </c>
      <c r="AJ14">
        <v>691</v>
      </c>
      <c r="AK14">
        <v>691</v>
      </c>
    </row>
    <row r="15" spans="1:37" x14ac:dyDescent="0.2">
      <c r="A15" t="s">
        <v>46</v>
      </c>
      <c r="B15">
        <v>3.1620000000000002E-2</v>
      </c>
      <c r="C15">
        <v>0.25202000000000002</v>
      </c>
      <c r="D15">
        <v>0.10170999999999999</v>
      </c>
      <c r="E15">
        <v>9.9059999999999995E-2</v>
      </c>
      <c r="F15">
        <v>0.27037</v>
      </c>
      <c r="G15">
        <v>0.17049</v>
      </c>
      <c r="H15">
        <v>8.8000000000000003E-4</v>
      </c>
      <c r="I15">
        <v>0.18109</v>
      </c>
      <c r="J15">
        <v>3.5049999999999998E-2</v>
      </c>
      <c r="K15">
        <v>6.9999999999999994E-5</v>
      </c>
      <c r="L15">
        <v>9.6629999999999994E-2</v>
      </c>
      <c r="M15">
        <v>1.864E-2</v>
      </c>
      <c r="N15">
        <v>8.1999999999999998E-4</v>
      </c>
      <c r="O15">
        <v>6.1949999999999998E-2</v>
      </c>
      <c r="P15">
        <v>1.371E-2</v>
      </c>
      <c r="Q15">
        <v>1.8799999999999999E-3</v>
      </c>
      <c r="R15">
        <v>0.10793999999999999</v>
      </c>
      <c r="S15">
        <v>1.9359999999999999E-2</v>
      </c>
      <c r="T15">
        <v>2.862E-2</v>
      </c>
      <c r="U15">
        <v>0.22583</v>
      </c>
      <c r="V15">
        <v>9.9479999999999999E-2</v>
      </c>
      <c r="W15">
        <v>3.7510000000000002E-2</v>
      </c>
      <c r="X15">
        <v>0.17913999999999999</v>
      </c>
      <c r="Y15">
        <v>0.10366</v>
      </c>
      <c r="Z15">
        <v>2.001E-2</v>
      </c>
      <c r="AA15">
        <v>0.23521</v>
      </c>
      <c r="AB15">
        <v>7.3330000000000006E-2</v>
      </c>
      <c r="AC15">
        <v>5.5500000000000002E-3</v>
      </c>
      <c r="AD15">
        <v>2.2200000000000001E-2</v>
      </c>
      <c r="AE15">
        <v>2.5300000000000001E-3</v>
      </c>
      <c r="AF15">
        <v>1.243E-2</v>
      </c>
      <c r="AG15">
        <v>2.32E-3</v>
      </c>
      <c r="AH15">
        <v>8.0000000000000007E-5</v>
      </c>
      <c r="AI15">
        <v>0</v>
      </c>
      <c r="AJ15">
        <v>7.1249999999999994E-2</v>
      </c>
      <c r="AK15">
        <v>1.7139999999999999E-2</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4" tint="0.39997558519241921"/>
  </sheetPr>
  <dimension ref="A1:I11"/>
  <sheetViews>
    <sheetView workbookViewId="0">
      <selection activeCell="K41" sqref="K41"/>
    </sheetView>
  </sheetViews>
  <sheetFormatPr baseColWidth="10" defaultColWidth="10.83203125" defaultRowHeight="16" x14ac:dyDescent="0.2"/>
  <cols>
    <col min="1" max="16384" width="10.83203125" style="178"/>
  </cols>
  <sheetData>
    <row r="1" spans="1:9" x14ac:dyDescent="0.2">
      <c r="A1"/>
      <c r="B1">
        <v>-1</v>
      </c>
      <c r="C1">
        <v>-2</v>
      </c>
      <c r="D1">
        <v>-3</v>
      </c>
      <c r="E1">
        <v>-4</v>
      </c>
      <c r="F1">
        <v>-5</v>
      </c>
      <c r="G1">
        <v>-6</v>
      </c>
      <c r="H1">
        <v>-7</v>
      </c>
      <c r="I1">
        <v>-8</v>
      </c>
    </row>
    <row r="2" spans="1:9" x14ac:dyDescent="0.2">
      <c r="A2"/>
      <c r="B2" t="s">
        <v>2746</v>
      </c>
      <c r="C2" t="s">
        <v>2745</v>
      </c>
      <c r="D2" t="s">
        <v>2744</v>
      </c>
      <c r="E2" t="s">
        <v>2743</v>
      </c>
      <c r="F2" t="s">
        <v>2742</v>
      </c>
      <c r="G2" t="s">
        <v>2741</v>
      </c>
      <c r="H2" t="s">
        <v>2740</v>
      </c>
      <c r="I2" t="s">
        <v>2739</v>
      </c>
    </row>
    <row r="3" spans="1:9" x14ac:dyDescent="0.2">
      <c r="A3" t="s">
        <v>2668</v>
      </c>
      <c r="B3" t="s">
        <v>2738</v>
      </c>
      <c r="C3" t="s">
        <v>2738</v>
      </c>
      <c r="D3" t="s">
        <v>2737</v>
      </c>
      <c r="E3" t="s">
        <v>2737</v>
      </c>
      <c r="F3" t="s">
        <v>2736</v>
      </c>
      <c r="G3" t="s">
        <v>2736</v>
      </c>
      <c r="H3" t="s">
        <v>2735</v>
      </c>
      <c r="I3" t="s">
        <v>2735</v>
      </c>
    </row>
    <row r="4" spans="1:9" x14ac:dyDescent="0.2">
      <c r="A4"/>
      <c r="B4"/>
      <c r="C4"/>
      <c r="D4"/>
      <c r="E4"/>
      <c r="F4"/>
      <c r="G4"/>
      <c r="H4"/>
      <c r="I4"/>
    </row>
    <row r="5" spans="1:9" x14ac:dyDescent="0.2">
      <c r="A5" t="s">
        <v>2650</v>
      </c>
      <c r="B5">
        <v>0.25359999999999999</v>
      </c>
      <c r="C5">
        <v>0.36710999999999999</v>
      </c>
      <c r="D5">
        <v>0.22667000000000001</v>
      </c>
      <c r="E5">
        <v>0.41399999999999998</v>
      </c>
      <c r="F5">
        <v>0.17027999999999999</v>
      </c>
      <c r="G5">
        <v>0.18622</v>
      </c>
      <c r="H5">
        <v>0.17812</v>
      </c>
      <c r="I5">
        <v>0.22259000000000001</v>
      </c>
    </row>
    <row r="6" spans="1:9" x14ac:dyDescent="0.2">
      <c r="A6"/>
      <c r="B6">
        <v>2.358E-2</v>
      </c>
      <c r="C6">
        <v>4.9880000000000001E-2</v>
      </c>
      <c r="D6">
        <v>3.1480000000000001E-2</v>
      </c>
      <c r="E6">
        <v>5.9450000000000003E-2</v>
      </c>
      <c r="F6">
        <v>8.2000000000000007E-3</v>
      </c>
      <c r="G6">
        <v>2.1780000000000001E-2</v>
      </c>
      <c r="H6">
        <v>9.6900000000000007E-3</v>
      </c>
      <c r="I6">
        <v>2.368E-2</v>
      </c>
    </row>
    <row r="7" spans="1:9" x14ac:dyDescent="0.2">
      <c r="A7" t="s">
        <v>2649</v>
      </c>
      <c r="B7">
        <v>8.1961600000000008</v>
      </c>
      <c r="C7">
        <v>6.2706900000000001</v>
      </c>
      <c r="D7">
        <v>-3.5523199999999999</v>
      </c>
      <c r="E7">
        <v>-6.7434200000000004</v>
      </c>
      <c r="F7">
        <v>3.9892400000000001</v>
      </c>
      <c r="G7">
        <v>3.7252000000000001</v>
      </c>
      <c r="H7">
        <v>-2.8685200000000002</v>
      </c>
      <c r="I7">
        <v>-3.6198999999999999</v>
      </c>
    </row>
    <row r="8" spans="1:9" x14ac:dyDescent="0.2">
      <c r="A8"/>
      <c r="B8">
        <v>0.34562999999999999</v>
      </c>
      <c r="C8">
        <v>0.83933999999999997</v>
      </c>
      <c r="D8">
        <v>0.46472999999999998</v>
      </c>
      <c r="E8">
        <v>0.99363000000000001</v>
      </c>
      <c r="F8">
        <v>0.11905</v>
      </c>
      <c r="G8">
        <v>0.37572</v>
      </c>
      <c r="H8">
        <v>0.14116000000000001</v>
      </c>
      <c r="I8">
        <v>0.40298</v>
      </c>
    </row>
    <row r="9" spans="1:9" x14ac:dyDescent="0.2">
      <c r="A9"/>
      <c r="B9"/>
      <c r="C9"/>
      <c r="D9"/>
      <c r="E9"/>
      <c r="F9"/>
      <c r="G9"/>
      <c r="H9"/>
      <c r="I9"/>
    </row>
    <row r="10" spans="1:9" x14ac:dyDescent="0.2">
      <c r="A10" t="s">
        <v>279</v>
      </c>
      <c r="B10">
        <v>678</v>
      </c>
      <c r="C10">
        <v>50</v>
      </c>
      <c r="D10">
        <v>678</v>
      </c>
      <c r="E10">
        <v>50</v>
      </c>
      <c r="F10">
        <v>678</v>
      </c>
      <c r="G10">
        <v>50</v>
      </c>
      <c r="H10">
        <v>678</v>
      </c>
      <c r="I10">
        <v>50</v>
      </c>
    </row>
    <row r="11" spans="1:9" x14ac:dyDescent="0.2">
      <c r="A11" t="s">
        <v>46</v>
      </c>
      <c r="B11">
        <v>0.51210999999999995</v>
      </c>
      <c r="C11">
        <v>0.34766999999999998</v>
      </c>
      <c r="D11">
        <v>0.43448999999999999</v>
      </c>
      <c r="E11">
        <v>0.37295</v>
      </c>
      <c r="F11">
        <v>0.61753000000000002</v>
      </c>
      <c r="G11">
        <v>0.3528</v>
      </c>
      <c r="H11">
        <v>0.63412000000000002</v>
      </c>
      <c r="I11">
        <v>0.43031000000000003</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671C8-CA3A-7C47-AFBE-63224B1E9CDA}">
  <sheetPr>
    <tabColor theme="4" tint="0.39997558519241921"/>
  </sheetPr>
  <dimension ref="A1:F8"/>
  <sheetViews>
    <sheetView workbookViewId="0">
      <selection activeCell="K41" sqref="K41"/>
    </sheetView>
  </sheetViews>
  <sheetFormatPr baseColWidth="10" defaultColWidth="10.83203125" defaultRowHeight="16" x14ac:dyDescent="0.2"/>
  <cols>
    <col min="1" max="16384" width="10.83203125" style="186"/>
  </cols>
  <sheetData>
    <row r="1" spans="1:6" x14ac:dyDescent="0.2">
      <c r="B1" s="186">
        <v>-1</v>
      </c>
      <c r="C1" s="186">
        <v>-2</v>
      </c>
      <c r="D1" s="186">
        <v>-3</v>
      </c>
      <c r="E1" s="186">
        <v>-4</v>
      </c>
      <c r="F1" s="186">
        <v>-5</v>
      </c>
    </row>
    <row r="2" spans="1:6" x14ac:dyDescent="0.2">
      <c r="A2" s="186" t="s">
        <v>2668</v>
      </c>
      <c r="B2" s="186" t="s">
        <v>1409</v>
      </c>
      <c r="C2" s="186" t="s">
        <v>3390</v>
      </c>
      <c r="D2" s="186" t="s">
        <v>1847</v>
      </c>
      <c r="E2" s="186" t="s">
        <v>3389</v>
      </c>
      <c r="F2" s="186" t="s">
        <v>3388</v>
      </c>
    </row>
    <row r="4" spans="1:6" x14ac:dyDescent="0.2">
      <c r="A4" s="186" t="s">
        <v>2520</v>
      </c>
      <c r="B4" s="186">
        <v>691</v>
      </c>
      <c r="C4" s="186">
        <v>2.863</v>
      </c>
      <c r="D4" s="186">
        <v>0.14099999999999999</v>
      </c>
      <c r="E4" s="186">
        <v>2.472</v>
      </c>
      <c r="F4" s="186">
        <v>3.1829999999999998</v>
      </c>
    </row>
    <row r="5" spans="1:6" x14ac:dyDescent="0.2">
      <c r="A5" s="186" t="s">
        <v>2533</v>
      </c>
      <c r="B5" s="186">
        <v>691</v>
      </c>
      <c r="C5" s="187">
        <v>-1.56E-10</v>
      </c>
      <c r="D5" s="186">
        <v>0.11700000000000001</v>
      </c>
      <c r="E5" s="186">
        <v>-0.311</v>
      </c>
      <c r="F5" s="186">
        <v>0.26600000000000001</v>
      </c>
    </row>
    <row r="6" spans="1:6" x14ac:dyDescent="0.2">
      <c r="A6" s="186" t="s">
        <v>2546</v>
      </c>
      <c r="B6" s="186">
        <v>691</v>
      </c>
      <c r="C6" s="187">
        <v>-1.65E-10</v>
      </c>
      <c r="D6" s="186">
        <v>0.111</v>
      </c>
      <c r="E6" s="186">
        <v>-0.28899999999999998</v>
      </c>
      <c r="F6" s="186">
        <v>0.24199999999999999</v>
      </c>
    </row>
    <row r="7" spans="1:6" x14ac:dyDescent="0.2">
      <c r="A7" s="186" t="s">
        <v>2559</v>
      </c>
      <c r="B7" s="186">
        <v>691</v>
      </c>
      <c r="C7" s="187">
        <v>-3.3199999999999999E-10</v>
      </c>
      <c r="D7" s="186">
        <v>0.106</v>
      </c>
      <c r="E7" s="186">
        <v>-0.28899999999999998</v>
      </c>
      <c r="F7" s="186">
        <v>0.23</v>
      </c>
    </row>
    <row r="8" spans="1:6" x14ac:dyDescent="0.2">
      <c r="A8" s="186" t="s">
        <v>2648</v>
      </c>
      <c r="B8" s="186">
        <v>691</v>
      </c>
      <c r="C8" s="187">
        <v>14620000</v>
      </c>
      <c r="D8" s="187">
        <v>17760000</v>
      </c>
      <c r="E8" s="188">
        <v>3734</v>
      </c>
      <c r="F8" s="187">
        <v>69910000</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4" tint="0.39997558519241921"/>
  </sheetPr>
  <dimension ref="A1:G692"/>
  <sheetViews>
    <sheetView workbookViewId="0">
      <selection activeCell="K41" sqref="K41"/>
    </sheetView>
  </sheetViews>
  <sheetFormatPr baseColWidth="10" defaultColWidth="8.83203125" defaultRowHeight="15" x14ac:dyDescent="0.2"/>
  <cols>
    <col min="1" max="1" width="6.1640625" bestFit="1" customWidth="1"/>
    <col min="2" max="2" width="25.33203125" bestFit="1" customWidth="1"/>
    <col min="3" max="6" width="8.83203125" style="176"/>
  </cols>
  <sheetData>
    <row r="1" spans="1:7" x14ac:dyDescent="0.2">
      <c r="A1" t="s">
        <v>2597</v>
      </c>
      <c r="B1" t="s">
        <v>2598</v>
      </c>
      <c r="C1" t="s">
        <v>2645</v>
      </c>
      <c r="D1" t="s">
        <v>2533</v>
      </c>
      <c r="E1" t="s">
        <v>2646</v>
      </c>
      <c r="F1" t="s">
        <v>2647</v>
      </c>
      <c r="G1" t="s">
        <v>2648</v>
      </c>
    </row>
    <row r="2" spans="1:7" x14ac:dyDescent="0.2">
      <c r="A2">
        <v>38300</v>
      </c>
      <c r="B2" t="s">
        <v>2599</v>
      </c>
      <c r="C2">
        <v>4.9924489110708237E-2</v>
      </c>
      <c r="D2">
        <v>0.10327552258968353</v>
      </c>
      <c r="E2">
        <v>0.5753210186958313</v>
      </c>
      <c r="F2">
        <v>18.062717437744141</v>
      </c>
      <c r="G2">
        <v>69909814</v>
      </c>
    </row>
    <row r="3" spans="1:7" x14ac:dyDescent="0.2">
      <c r="A3">
        <v>19400</v>
      </c>
      <c r="B3" t="s">
        <v>2600</v>
      </c>
      <c r="C3">
        <v>9.7572945058345795E-2</v>
      </c>
      <c r="D3">
        <v>0.16675366461277008</v>
      </c>
      <c r="E3">
        <v>0.63781970739364624</v>
      </c>
      <c r="F3">
        <v>17.70033073425293</v>
      </c>
      <c r="G3">
        <v>48658146</v>
      </c>
    </row>
    <row r="4" spans="1:7" x14ac:dyDescent="0.2">
      <c r="A4">
        <v>24300</v>
      </c>
      <c r="B4" t="s">
        <v>2601</v>
      </c>
      <c r="C4">
        <v>4.634302482008934E-2</v>
      </c>
      <c r="D4">
        <v>9.0704001486301422E-2</v>
      </c>
      <c r="E4">
        <v>0.64258980751037598</v>
      </c>
      <c r="F4">
        <v>17.376796722412109</v>
      </c>
      <c r="G4">
        <v>35208482</v>
      </c>
    </row>
    <row r="5" spans="1:7" x14ac:dyDescent="0.2">
      <c r="A5">
        <v>11304</v>
      </c>
      <c r="B5" t="s">
        <v>2747</v>
      </c>
      <c r="C5">
        <v>0.15457560122013092</v>
      </c>
      <c r="D5">
        <v>0.23947277665138245</v>
      </c>
      <c r="E5">
        <v>0.70484006404876709</v>
      </c>
      <c r="F5">
        <v>17.057785034179688</v>
      </c>
      <c r="G5">
        <v>25591856</v>
      </c>
    </row>
    <row r="6" spans="1:7" x14ac:dyDescent="0.2">
      <c r="A6">
        <v>19600</v>
      </c>
      <c r="B6" t="s">
        <v>2602</v>
      </c>
      <c r="C6">
        <v>0.11263121664524078</v>
      </c>
      <c r="D6">
        <v>0.17859725654125214</v>
      </c>
      <c r="E6">
        <v>0.64303457736968994</v>
      </c>
      <c r="F6">
        <v>17.040616989135742</v>
      </c>
      <c r="G6">
        <v>25156234</v>
      </c>
    </row>
    <row r="7" spans="1:7" x14ac:dyDescent="0.2">
      <c r="A7">
        <v>32000</v>
      </c>
      <c r="B7" t="s">
        <v>2603</v>
      </c>
      <c r="C7">
        <v>4.5581337064504623E-2</v>
      </c>
      <c r="D7">
        <v>8.2031652331352234E-2</v>
      </c>
      <c r="E7">
        <v>0.56576180458068848</v>
      </c>
      <c r="F7">
        <v>17.016609191894531</v>
      </c>
      <c r="G7">
        <v>24559492</v>
      </c>
    </row>
    <row r="8" spans="1:7" x14ac:dyDescent="0.2">
      <c r="A8">
        <v>19700</v>
      </c>
      <c r="B8" t="s">
        <v>2604</v>
      </c>
      <c r="C8">
        <v>4.6094533056020737E-2</v>
      </c>
      <c r="D8">
        <v>8.3658911287784576E-2</v>
      </c>
      <c r="E8">
        <v>0.61091428995132446</v>
      </c>
      <c r="F8">
        <v>16.977653503417969</v>
      </c>
      <c r="G8">
        <v>23621159</v>
      </c>
    </row>
    <row r="9" spans="1:7" x14ac:dyDescent="0.2">
      <c r="A9">
        <v>20500</v>
      </c>
      <c r="B9" t="s">
        <v>2605</v>
      </c>
      <c r="C9">
        <v>9.3689873814582825E-2</v>
      </c>
      <c r="D9">
        <v>0.15201671421527863</v>
      </c>
      <c r="E9">
        <v>0.68530160188674927</v>
      </c>
      <c r="F9">
        <v>16.936811447143555</v>
      </c>
      <c r="G9">
        <v>22675859</v>
      </c>
    </row>
    <row r="10" spans="1:7" x14ac:dyDescent="0.2">
      <c r="A10">
        <v>37800</v>
      </c>
      <c r="B10" t="s">
        <v>2606</v>
      </c>
      <c r="C10">
        <v>0.16907614469528198</v>
      </c>
      <c r="D10">
        <v>0.25715392827987671</v>
      </c>
      <c r="E10">
        <v>0.70730853080749512</v>
      </c>
      <c r="F10">
        <v>16.870061874389648</v>
      </c>
      <c r="G10">
        <v>21211662</v>
      </c>
    </row>
    <row r="11" spans="1:7" x14ac:dyDescent="0.2">
      <c r="A11">
        <v>9100</v>
      </c>
      <c r="B11" t="s">
        <v>2607</v>
      </c>
      <c r="C11">
        <v>6.1565600335597992E-3</v>
      </c>
      <c r="D11">
        <v>2.7081448584794998E-2</v>
      </c>
      <c r="E11">
        <v>0.6486821174621582</v>
      </c>
      <c r="F11">
        <v>16.838464736938477</v>
      </c>
      <c r="G11">
        <v>20551919</v>
      </c>
    </row>
    <row r="12" spans="1:7" x14ac:dyDescent="0.2">
      <c r="A12">
        <v>11600</v>
      </c>
      <c r="B12" t="s">
        <v>2608</v>
      </c>
      <c r="C12">
        <v>-3.1676877290010452E-2</v>
      </c>
      <c r="D12">
        <v>-2.6723865419626236E-2</v>
      </c>
      <c r="E12">
        <v>0.63435882329940796</v>
      </c>
      <c r="F12">
        <v>16.806173324584961</v>
      </c>
      <c r="G12">
        <v>19898860</v>
      </c>
    </row>
    <row r="13" spans="1:7" x14ac:dyDescent="0.2">
      <c r="A13">
        <v>39400</v>
      </c>
      <c r="B13" t="s">
        <v>2609</v>
      </c>
      <c r="C13">
        <v>7.3951482772827148E-2</v>
      </c>
      <c r="D13">
        <v>0.12126654386520386</v>
      </c>
      <c r="E13">
        <v>0.65713000297546387</v>
      </c>
      <c r="F13">
        <v>16.778631210327148</v>
      </c>
      <c r="G13">
        <v>19358298</v>
      </c>
    </row>
    <row r="14" spans="1:7" x14ac:dyDescent="0.2">
      <c r="A14">
        <v>33100</v>
      </c>
      <c r="B14" t="s">
        <v>2610</v>
      </c>
      <c r="C14">
        <v>3.9217542856931686E-2</v>
      </c>
      <c r="D14">
        <v>7.0623829960823059E-2</v>
      </c>
      <c r="E14">
        <v>0.60217189788818359</v>
      </c>
      <c r="F14">
        <v>16.756702423095703</v>
      </c>
      <c r="G14">
        <v>18938421</v>
      </c>
    </row>
    <row r="15" spans="1:7" x14ac:dyDescent="0.2">
      <c r="A15">
        <v>7000</v>
      </c>
      <c r="B15" t="s">
        <v>2611</v>
      </c>
      <c r="C15">
        <v>-3.543192520737648E-2</v>
      </c>
      <c r="D15">
        <v>-3.5182729363441467E-2</v>
      </c>
      <c r="E15">
        <v>0.58486402034759521</v>
      </c>
      <c r="F15">
        <v>16.693138122558594</v>
      </c>
      <c r="G15">
        <v>17772062</v>
      </c>
    </row>
    <row r="16" spans="1:7" x14ac:dyDescent="0.2">
      <c r="A16">
        <v>35001</v>
      </c>
      <c r="B16" t="s">
        <v>2612</v>
      </c>
      <c r="C16">
        <v>2.5758559349924326E-3</v>
      </c>
      <c r="D16">
        <v>1.7603475600481033E-2</v>
      </c>
      <c r="E16">
        <v>0.5907750129699707</v>
      </c>
      <c r="F16">
        <v>16.655740737915039</v>
      </c>
      <c r="G16">
        <v>17119711</v>
      </c>
    </row>
    <row r="17" spans="1:7" x14ac:dyDescent="0.2">
      <c r="A17">
        <v>21501</v>
      </c>
      <c r="B17" t="s">
        <v>2613</v>
      </c>
      <c r="C17">
        <v>3.6322947591543198E-2</v>
      </c>
      <c r="D17">
        <v>6.5984815359115601E-2</v>
      </c>
      <c r="E17">
        <v>0.68878120183944702</v>
      </c>
      <c r="F17">
        <v>16.51739501953125</v>
      </c>
      <c r="G17">
        <v>14907785</v>
      </c>
    </row>
    <row r="18" spans="1:7" x14ac:dyDescent="0.2">
      <c r="A18">
        <v>20901</v>
      </c>
      <c r="B18" t="s">
        <v>2614</v>
      </c>
      <c r="C18">
        <v>8.9760228991508484E-2</v>
      </c>
      <c r="D18">
        <v>0.13844849169254303</v>
      </c>
      <c r="E18">
        <v>0.63018375635147095</v>
      </c>
      <c r="F18">
        <v>16.494174957275391</v>
      </c>
      <c r="G18">
        <v>14565624</v>
      </c>
    </row>
    <row r="19" spans="1:7" x14ac:dyDescent="0.2">
      <c r="A19">
        <v>28900</v>
      </c>
      <c r="B19" t="s">
        <v>2615</v>
      </c>
      <c r="C19">
        <v>3.577766939997673E-2</v>
      </c>
      <c r="D19">
        <v>6.3259892165660858E-2</v>
      </c>
      <c r="E19">
        <v>0.66848623752593994</v>
      </c>
      <c r="F19">
        <v>16.425548553466797</v>
      </c>
      <c r="G19">
        <v>13599568</v>
      </c>
    </row>
    <row r="20" spans="1:7" x14ac:dyDescent="0.2">
      <c r="A20">
        <v>38000</v>
      </c>
      <c r="B20" t="s">
        <v>2616</v>
      </c>
      <c r="C20">
        <v>5.4851990193128586E-2</v>
      </c>
      <c r="D20">
        <v>8.8484592735767365E-2</v>
      </c>
      <c r="E20">
        <v>0.64361459016799927</v>
      </c>
      <c r="F20">
        <v>16.38116455078125</v>
      </c>
      <c r="G20">
        <v>13009154</v>
      </c>
    </row>
    <row r="21" spans="1:7" x14ac:dyDescent="0.2">
      <c r="A21">
        <v>37400</v>
      </c>
      <c r="B21" t="s">
        <v>2617</v>
      </c>
      <c r="C21">
        <v>5.1344659179449081E-2</v>
      </c>
      <c r="D21">
        <v>8.0582395195960999E-2</v>
      </c>
      <c r="E21">
        <v>0.60018688440322876</v>
      </c>
      <c r="F21">
        <v>16.269100189208984</v>
      </c>
      <c r="G21">
        <v>11630018</v>
      </c>
    </row>
    <row r="22" spans="1:7" x14ac:dyDescent="0.2">
      <c r="A22">
        <v>11302</v>
      </c>
      <c r="B22" t="s">
        <v>2618</v>
      </c>
      <c r="C22">
        <v>9.4502717256546021E-2</v>
      </c>
      <c r="D22">
        <v>0.14208447933197021</v>
      </c>
      <c r="E22">
        <v>0.64567911624908447</v>
      </c>
      <c r="F22">
        <v>16.24818229675293</v>
      </c>
      <c r="G22">
        <v>11389281</v>
      </c>
    </row>
    <row r="23" spans="1:7" x14ac:dyDescent="0.2">
      <c r="A23">
        <v>6700</v>
      </c>
      <c r="B23" t="s">
        <v>2619</v>
      </c>
      <c r="C23">
        <v>-4.6526763588190079E-2</v>
      </c>
      <c r="D23">
        <v>-5.7404335588216782E-2</v>
      </c>
      <c r="E23">
        <v>0.58470678329467773</v>
      </c>
      <c r="F23">
        <v>16.220979690551758</v>
      </c>
      <c r="G23">
        <v>11083622</v>
      </c>
    </row>
    <row r="24" spans="1:7" x14ac:dyDescent="0.2">
      <c r="A24">
        <v>37500</v>
      </c>
      <c r="B24" t="s">
        <v>2620</v>
      </c>
      <c r="C24">
        <v>0.18316368758678436</v>
      </c>
      <c r="D24">
        <v>0.26587152481079102</v>
      </c>
      <c r="E24">
        <v>0.66799658536911011</v>
      </c>
      <c r="F24">
        <v>16.187404632568359</v>
      </c>
      <c r="G24">
        <v>10717672</v>
      </c>
    </row>
    <row r="25" spans="1:7" x14ac:dyDescent="0.2">
      <c r="A25">
        <v>15200</v>
      </c>
      <c r="B25" t="s">
        <v>2621</v>
      </c>
      <c r="C25">
        <v>-4.5193765312433243E-2</v>
      </c>
      <c r="D25">
        <v>-5.6268028914928436E-2</v>
      </c>
      <c r="E25">
        <v>0.59781229496002197</v>
      </c>
      <c r="F25">
        <v>16.139923095703125</v>
      </c>
      <c r="G25">
        <v>10220673</v>
      </c>
    </row>
    <row r="26" spans="1:7" x14ac:dyDescent="0.2">
      <c r="A26">
        <v>24701</v>
      </c>
      <c r="B26" t="s">
        <v>2622</v>
      </c>
      <c r="C26">
        <v>-2.4370063096284866E-2</v>
      </c>
      <c r="D26">
        <v>-2.594161219894886E-2</v>
      </c>
      <c r="E26">
        <v>0.64256638288497925</v>
      </c>
      <c r="F26">
        <v>16.123682022094727</v>
      </c>
      <c r="G26">
        <v>10056027</v>
      </c>
    </row>
    <row r="27" spans="1:7" x14ac:dyDescent="0.2">
      <c r="A27">
        <v>16300</v>
      </c>
      <c r="B27" t="s">
        <v>2623</v>
      </c>
      <c r="C27">
        <v>-5.2859444171190262E-2</v>
      </c>
      <c r="D27">
        <v>-6.6454529762268066E-2</v>
      </c>
      <c r="E27">
        <v>0.62265676259994507</v>
      </c>
      <c r="F27">
        <v>16.120433807373047</v>
      </c>
      <c r="G27">
        <v>10023413</v>
      </c>
    </row>
    <row r="28" spans="1:7" x14ac:dyDescent="0.2">
      <c r="A28">
        <v>33000</v>
      </c>
      <c r="B28" t="s">
        <v>2624</v>
      </c>
      <c r="C28">
        <v>9.7144804894924164E-3</v>
      </c>
      <c r="D28">
        <v>1.8251731991767883E-2</v>
      </c>
      <c r="E28">
        <v>0.55436021089553833</v>
      </c>
      <c r="F28">
        <v>16.082155227661133</v>
      </c>
      <c r="G28">
        <v>9646980</v>
      </c>
    </row>
    <row r="29" spans="1:7" x14ac:dyDescent="0.2">
      <c r="A29">
        <v>7400</v>
      </c>
      <c r="B29" t="s">
        <v>2625</v>
      </c>
      <c r="C29">
        <v>-6.4114183187484741E-2</v>
      </c>
      <c r="D29">
        <v>-8.3424650132656097E-2</v>
      </c>
      <c r="E29">
        <v>0.60342097282409668</v>
      </c>
      <c r="F29">
        <v>16.077136993408203</v>
      </c>
      <c r="G29">
        <v>9598679</v>
      </c>
    </row>
    <row r="30" spans="1:7" x14ac:dyDescent="0.2">
      <c r="A30">
        <v>38801</v>
      </c>
      <c r="B30" t="s">
        <v>2626</v>
      </c>
      <c r="C30">
        <v>1.3963501900434494E-2</v>
      </c>
      <c r="D30">
        <v>2.7161926031112671E-2</v>
      </c>
      <c r="E30">
        <v>0.65488648414611816</v>
      </c>
      <c r="F30">
        <v>16.06195068359375</v>
      </c>
      <c r="G30">
        <v>9454025</v>
      </c>
    </row>
    <row r="31" spans="1:7" x14ac:dyDescent="0.2">
      <c r="A31">
        <v>18000</v>
      </c>
      <c r="B31" t="s">
        <v>2627</v>
      </c>
      <c r="C31">
        <v>-3.9841253310441971E-2</v>
      </c>
      <c r="D31">
        <v>-4.8769522458314896E-2</v>
      </c>
      <c r="E31">
        <v>0.636863112449646</v>
      </c>
      <c r="F31">
        <v>16.052036285400391</v>
      </c>
      <c r="G31">
        <v>9360760</v>
      </c>
    </row>
    <row r="32" spans="1:7" x14ac:dyDescent="0.2">
      <c r="A32">
        <v>31301</v>
      </c>
      <c r="B32" t="s">
        <v>2628</v>
      </c>
      <c r="C32">
        <v>-2.5182235985994339E-2</v>
      </c>
      <c r="D32">
        <v>-3.1648542732000351E-2</v>
      </c>
      <c r="E32">
        <v>0.54717755317687988</v>
      </c>
      <c r="F32">
        <v>16.019512176513672</v>
      </c>
      <c r="G32">
        <v>9061196</v>
      </c>
    </row>
    <row r="33" spans="1:7" x14ac:dyDescent="0.2">
      <c r="A33">
        <v>37901</v>
      </c>
      <c r="B33" t="s">
        <v>2629</v>
      </c>
      <c r="C33">
        <v>1.6740318387746811E-2</v>
      </c>
      <c r="D33">
        <v>2.5175938382744789E-2</v>
      </c>
      <c r="E33">
        <v>0.49488192796707153</v>
      </c>
      <c r="F33">
        <v>16.013988494873047</v>
      </c>
      <c r="G33">
        <v>9011289</v>
      </c>
    </row>
    <row r="34" spans="1:7" x14ac:dyDescent="0.2">
      <c r="A34">
        <v>31201</v>
      </c>
      <c r="B34" t="s">
        <v>2630</v>
      </c>
      <c r="C34">
        <v>2.1978046745061874E-2</v>
      </c>
      <c r="D34">
        <v>3.7298325449228287E-2</v>
      </c>
      <c r="E34">
        <v>0.65991687774658203</v>
      </c>
      <c r="F34">
        <v>15.975443840026855</v>
      </c>
      <c r="G34">
        <v>8670560</v>
      </c>
    </row>
    <row r="35" spans="1:7" x14ac:dyDescent="0.2">
      <c r="A35">
        <v>12701</v>
      </c>
      <c r="B35" t="s">
        <v>2631</v>
      </c>
      <c r="C35">
        <v>-1.9647348672151566E-2</v>
      </c>
      <c r="D35">
        <v>-2.3158393800258636E-2</v>
      </c>
      <c r="E35">
        <v>0.59392249584197998</v>
      </c>
      <c r="F35">
        <v>15.965926170349121</v>
      </c>
      <c r="G35">
        <v>8588425</v>
      </c>
    </row>
    <row r="36" spans="1:7" x14ac:dyDescent="0.2">
      <c r="A36">
        <v>29502</v>
      </c>
      <c r="B36" t="s">
        <v>2632</v>
      </c>
      <c r="C36">
        <v>-2.0544160157442093E-2</v>
      </c>
      <c r="D36">
        <v>-2.3478522896766663E-2</v>
      </c>
      <c r="E36">
        <v>0.62704277038574219</v>
      </c>
      <c r="F36">
        <v>15.956068992614746</v>
      </c>
      <c r="G36">
        <v>8504189</v>
      </c>
    </row>
    <row r="37" spans="1:7" x14ac:dyDescent="0.2">
      <c r="A37">
        <v>1701</v>
      </c>
      <c r="B37" t="s">
        <v>2633</v>
      </c>
      <c r="C37">
        <v>-1.0682139545679092E-2</v>
      </c>
      <c r="D37">
        <v>-7.7873296104371548E-3</v>
      </c>
      <c r="E37">
        <v>0.68803918361663818</v>
      </c>
      <c r="F37">
        <v>15.951104164123535</v>
      </c>
      <c r="G37">
        <v>8462066</v>
      </c>
    </row>
    <row r="38" spans="1:7" x14ac:dyDescent="0.2">
      <c r="A38">
        <v>15900</v>
      </c>
      <c r="B38" t="s">
        <v>2634</v>
      </c>
      <c r="C38">
        <v>-2.3362565785646439E-2</v>
      </c>
      <c r="D38">
        <v>-2.7634670957922935E-2</v>
      </c>
      <c r="E38">
        <v>0.62527745962142944</v>
      </c>
      <c r="F38">
        <v>15.944846153259277</v>
      </c>
      <c r="G38">
        <v>8409278</v>
      </c>
    </row>
    <row r="39" spans="1:7" x14ac:dyDescent="0.2">
      <c r="A39">
        <v>900</v>
      </c>
      <c r="B39" t="s">
        <v>2635</v>
      </c>
      <c r="C39">
        <v>-1.0709110647439957E-2</v>
      </c>
      <c r="D39">
        <v>-9.7297923639416695E-3</v>
      </c>
      <c r="E39">
        <v>0.63999611139297485</v>
      </c>
      <c r="F39">
        <v>15.9266357421875</v>
      </c>
      <c r="G39">
        <v>8257527</v>
      </c>
    </row>
    <row r="40" spans="1:7" x14ac:dyDescent="0.2">
      <c r="A40">
        <v>14200</v>
      </c>
      <c r="B40" t="s">
        <v>2748</v>
      </c>
      <c r="C40">
        <v>-2.7649570256471634E-2</v>
      </c>
      <c r="D40">
        <v>-3.5511169582605362E-2</v>
      </c>
      <c r="E40">
        <v>0.60948961973190308</v>
      </c>
      <c r="F40">
        <v>15.848241806030273</v>
      </c>
      <c r="G40">
        <v>7634908</v>
      </c>
    </row>
    <row r="41" spans="1:7" x14ac:dyDescent="0.2">
      <c r="A41">
        <v>36100</v>
      </c>
      <c r="B41" t="s">
        <v>2636</v>
      </c>
      <c r="C41">
        <v>-2.3369301110506058E-2</v>
      </c>
      <c r="D41">
        <v>-3.0512262135744095E-2</v>
      </c>
      <c r="E41">
        <v>0.59387308359146118</v>
      </c>
      <c r="F41">
        <v>15.814616203308105</v>
      </c>
      <c r="G41">
        <v>7382448</v>
      </c>
    </row>
    <row r="42" spans="1:7" x14ac:dyDescent="0.2">
      <c r="A42">
        <v>24100</v>
      </c>
      <c r="B42" t="s">
        <v>2637</v>
      </c>
      <c r="C42">
        <v>-1.0708112269639969E-2</v>
      </c>
      <c r="D42">
        <v>-1.1913963593542576E-2</v>
      </c>
      <c r="E42">
        <v>0.62520766258239746</v>
      </c>
      <c r="F42">
        <v>15.806546211242676</v>
      </c>
      <c r="G42">
        <v>7323111</v>
      </c>
    </row>
    <row r="43" spans="1:7" x14ac:dyDescent="0.2">
      <c r="A43">
        <v>5600</v>
      </c>
      <c r="B43" t="s">
        <v>2749</v>
      </c>
      <c r="C43">
        <v>-3.7427488714456558E-2</v>
      </c>
      <c r="D43">
        <v>-5.0498299300670624E-2</v>
      </c>
      <c r="E43">
        <v>0.61723262071609497</v>
      </c>
      <c r="F43">
        <v>15.737682342529297</v>
      </c>
      <c r="G43">
        <v>6835791</v>
      </c>
    </row>
    <row r="44" spans="1:7" x14ac:dyDescent="0.2">
      <c r="A44">
        <v>7100</v>
      </c>
      <c r="B44" t="s">
        <v>2638</v>
      </c>
      <c r="C44">
        <v>-2.0522523671388626E-2</v>
      </c>
      <c r="D44">
        <v>-2.8471155092120171E-2</v>
      </c>
      <c r="E44">
        <v>0.56924039125442505</v>
      </c>
      <c r="F44">
        <v>15.734404563903809</v>
      </c>
      <c r="G44">
        <v>6813420</v>
      </c>
    </row>
    <row r="45" spans="1:7" x14ac:dyDescent="0.2">
      <c r="A45">
        <v>20401</v>
      </c>
      <c r="B45" t="s">
        <v>2639</v>
      </c>
      <c r="C45">
        <v>3.7525292485952377E-2</v>
      </c>
      <c r="D45">
        <v>5.2825137972831726E-2</v>
      </c>
      <c r="E45">
        <v>0.58828020095825195</v>
      </c>
      <c r="F45">
        <v>15.702166557312012</v>
      </c>
      <c r="G45">
        <v>6597271</v>
      </c>
    </row>
    <row r="46" spans="1:7" x14ac:dyDescent="0.2">
      <c r="A46">
        <v>7600</v>
      </c>
      <c r="B46" t="s">
        <v>2750</v>
      </c>
      <c r="C46">
        <v>-3.0880246311426163E-2</v>
      </c>
      <c r="D46">
        <v>-4.494127631187439E-2</v>
      </c>
      <c r="E46">
        <v>0.57164305448532104</v>
      </c>
      <c r="F46">
        <v>15.588691711425781</v>
      </c>
      <c r="G46">
        <v>5889560</v>
      </c>
    </row>
    <row r="47" spans="1:7" x14ac:dyDescent="0.2">
      <c r="A47">
        <v>37200</v>
      </c>
      <c r="B47" t="s">
        <v>2640</v>
      </c>
      <c r="C47">
        <v>7.6649002730846405E-3</v>
      </c>
      <c r="D47">
        <v>5.7267602533102036E-3</v>
      </c>
      <c r="E47">
        <v>0.47300639748573303</v>
      </c>
      <c r="F47">
        <v>15.587837219238281</v>
      </c>
      <c r="G47">
        <v>5884527</v>
      </c>
    </row>
    <row r="48" spans="1:7" x14ac:dyDescent="0.2">
      <c r="A48">
        <v>12200</v>
      </c>
      <c r="B48" t="s">
        <v>2641</v>
      </c>
      <c r="C48">
        <v>-6.5460607409477234E-2</v>
      </c>
      <c r="D48">
        <v>-9.3729302287101746E-2</v>
      </c>
      <c r="E48">
        <v>0.58036601543426514</v>
      </c>
      <c r="F48">
        <v>15.536925315856934</v>
      </c>
      <c r="G48">
        <v>5592433</v>
      </c>
    </row>
    <row r="49" spans="1:7" x14ac:dyDescent="0.2">
      <c r="A49">
        <v>20600</v>
      </c>
      <c r="B49" t="s">
        <v>2642</v>
      </c>
      <c r="C49">
        <v>1.5766214579343796E-2</v>
      </c>
      <c r="D49">
        <v>2.1180771291255951E-2</v>
      </c>
      <c r="E49">
        <v>0.62906694412231445</v>
      </c>
      <c r="F49">
        <v>15.522537231445312</v>
      </c>
      <c r="G49">
        <v>5512545</v>
      </c>
    </row>
    <row r="50" spans="1:7" x14ac:dyDescent="0.2">
      <c r="A50">
        <v>33803</v>
      </c>
      <c r="B50" t="s">
        <v>2643</v>
      </c>
      <c r="C50">
        <v>-5.6996587663888931E-2</v>
      </c>
      <c r="D50">
        <v>-8.2576312124729156E-2</v>
      </c>
      <c r="E50">
        <v>0.56786394119262695</v>
      </c>
      <c r="F50">
        <v>15.517745018005371</v>
      </c>
      <c r="G50">
        <v>5486191</v>
      </c>
    </row>
    <row r="51" spans="1:7" x14ac:dyDescent="0.2">
      <c r="A51">
        <v>2000</v>
      </c>
      <c r="B51" t="s">
        <v>2644</v>
      </c>
      <c r="C51">
        <v>-2.0083654671907425E-2</v>
      </c>
      <c r="D51">
        <v>-3.0505087226629257E-2</v>
      </c>
      <c r="E51">
        <v>0.59991896152496338</v>
      </c>
      <c r="F51">
        <v>15.478096008300781</v>
      </c>
      <c r="G51">
        <v>5272927</v>
      </c>
    </row>
    <row r="52" spans="1:7" x14ac:dyDescent="0.2">
      <c r="A52">
        <v>2400</v>
      </c>
      <c r="B52" t="s">
        <v>2751</v>
      </c>
      <c r="C52">
        <v>1.5034716576337814E-2</v>
      </c>
      <c r="D52">
        <v>1.8990419805049896E-2</v>
      </c>
      <c r="E52">
        <v>0.62011688947677612</v>
      </c>
      <c r="F52">
        <v>15.460755348205566</v>
      </c>
      <c r="G52">
        <v>5182276</v>
      </c>
    </row>
    <row r="53" spans="1:7" x14ac:dyDescent="0.2">
      <c r="A53">
        <v>13101</v>
      </c>
      <c r="B53" t="s">
        <v>2752</v>
      </c>
      <c r="C53">
        <v>-4.7672275453805923E-2</v>
      </c>
      <c r="D53">
        <v>-7.0239521563053131E-2</v>
      </c>
      <c r="E53">
        <v>0.58155524730682373</v>
      </c>
      <c r="F53">
        <v>15.437498092651367</v>
      </c>
      <c r="G53">
        <v>5063144</v>
      </c>
    </row>
    <row r="54" spans="1:7" x14ac:dyDescent="0.2">
      <c r="A54">
        <v>3300</v>
      </c>
      <c r="B54" t="s">
        <v>2753</v>
      </c>
      <c r="C54">
        <v>-2.1091718226671219E-2</v>
      </c>
      <c r="D54">
        <v>-3.3234760165214539E-2</v>
      </c>
      <c r="E54">
        <v>0.58313006162643433</v>
      </c>
      <c r="F54">
        <v>15.423445701599121</v>
      </c>
      <c r="G54">
        <v>4992490</v>
      </c>
    </row>
    <row r="55" spans="1:7" x14ac:dyDescent="0.2">
      <c r="A55">
        <v>5202</v>
      </c>
      <c r="B55" t="s">
        <v>2754</v>
      </c>
      <c r="C55">
        <v>-2.7120042592287064E-2</v>
      </c>
      <c r="D55">
        <v>-4.1693665087223053E-2</v>
      </c>
      <c r="E55">
        <v>0.58720934391021729</v>
      </c>
      <c r="F55">
        <v>15.411837577819824</v>
      </c>
      <c r="G55">
        <v>4934874</v>
      </c>
    </row>
    <row r="56" spans="1:7" x14ac:dyDescent="0.2">
      <c r="A56">
        <v>19200</v>
      </c>
      <c r="B56" t="s">
        <v>2755</v>
      </c>
      <c r="C56">
        <v>-1.9477758556604385E-2</v>
      </c>
      <c r="D56">
        <v>-3.3450894057750702E-2</v>
      </c>
      <c r="E56">
        <v>0.51710140705108643</v>
      </c>
      <c r="F56">
        <v>15.400076866149902</v>
      </c>
      <c r="G56">
        <v>4877177</v>
      </c>
    </row>
    <row r="57" spans="1:7" x14ac:dyDescent="0.2">
      <c r="A57">
        <v>19100</v>
      </c>
      <c r="B57" t="s">
        <v>2756</v>
      </c>
      <c r="C57">
        <v>-2.9220718890428543E-2</v>
      </c>
      <c r="D57">
        <v>-4.8531826585531235E-2</v>
      </c>
      <c r="E57">
        <v>0.47475913166999817</v>
      </c>
      <c r="F57">
        <v>15.39372730255127</v>
      </c>
      <c r="G57">
        <v>4846306</v>
      </c>
    </row>
    <row r="58" spans="1:7" x14ac:dyDescent="0.2">
      <c r="A58">
        <v>19500</v>
      </c>
      <c r="B58" t="s">
        <v>2757</v>
      </c>
      <c r="C58">
        <v>0.10831103473901749</v>
      </c>
      <c r="D58">
        <v>0.14775554835796356</v>
      </c>
      <c r="E58">
        <v>0.62513715028762817</v>
      </c>
      <c r="F58">
        <v>15.335757255554199</v>
      </c>
      <c r="G58">
        <v>4573355</v>
      </c>
    </row>
    <row r="59" spans="1:7" x14ac:dyDescent="0.2">
      <c r="A59">
        <v>500</v>
      </c>
      <c r="B59" t="s">
        <v>2758</v>
      </c>
      <c r="C59">
        <v>-7.4994921684265137E-2</v>
      </c>
      <c r="D59">
        <v>-0.11048828810453415</v>
      </c>
      <c r="E59">
        <v>0.56296277046203613</v>
      </c>
      <c r="F59">
        <v>15.335057258605957</v>
      </c>
      <c r="G59">
        <v>4570155</v>
      </c>
    </row>
    <row r="60" spans="1:7" x14ac:dyDescent="0.2">
      <c r="A60">
        <v>18600</v>
      </c>
      <c r="B60" t="s">
        <v>2759</v>
      </c>
      <c r="C60">
        <v>4.8315040767192841E-3</v>
      </c>
      <c r="D60">
        <v>3.240314545109868E-3</v>
      </c>
      <c r="E60">
        <v>0.63246935606002808</v>
      </c>
      <c r="F60">
        <v>15.327821731567383</v>
      </c>
      <c r="G60">
        <v>4537205</v>
      </c>
    </row>
    <row r="61" spans="1:7" x14ac:dyDescent="0.2">
      <c r="A61">
        <v>12501</v>
      </c>
      <c r="B61" t="s">
        <v>2760</v>
      </c>
      <c r="C61">
        <v>-6.8917617201805115E-2</v>
      </c>
      <c r="D61">
        <v>-0.10262656211853027</v>
      </c>
      <c r="E61">
        <v>0.54944634437561035</v>
      </c>
      <c r="F61">
        <v>15.321343421936035</v>
      </c>
      <c r="G61">
        <v>4507905</v>
      </c>
    </row>
    <row r="62" spans="1:7" x14ac:dyDescent="0.2">
      <c r="A62">
        <v>10700</v>
      </c>
      <c r="B62" t="s">
        <v>2761</v>
      </c>
      <c r="C62">
        <v>-3.6849666386842728E-2</v>
      </c>
      <c r="D62">
        <v>-5.6419946253299713E-2</v>
      </c>
      <c r="E62">
        <v>0.61787629127502441</v>
      </c>
      <c r="F62">
        <v>15.262593269348145</v>
      </c>
      <c r="G62">
        <v>4250697</v>
      </c>
    </row>
    <row r="63" spans="1:7" x14ac:dyDescent="0.2">
      <c r="A63">
        <v>35100</v>
      </c>
      <c r="B63" t="s">
        <v>2762</v>
      </c>
      <c r="C63">
        <v>-5.0459969788789749E-2</v>
      </c>
      <c r="D63">
        <v>-7.615216076374054E-2</v>
      </c>
      <c r="E63">
        <v>0.59962171316146851</v>
      </c>
      <c r="F63">
        <v>15.254389762878418</v>
      </c>
      <c r="G63">
        <v>4215968</v>
      </c>
    </row>
    <row r="64" spans="1:7" x14ac:dyDescent="0.2">
      <c r="A64">
        <v>17700</v>
      </c>
      <c r="B64" t="s">
        <v>2763</v>
      </c>
      <c r="C64">
        <v>-4.2563516646623611E-2</v>
      </c>
      <c r="D64">
        <v>-6.5374813973903656E-2</v>
      </c>
      <c r="E64">
        <v>0.59854757785797119</v>
      </c>
      <c r="F64">
        <v>15.238537788391113</v>
      </c>
      <c r="G64">
        <v>4149665</v>
      </c>
    </row>
    <row r="65" spans="1:7" x14ac:dyDescent="0.2">
      <c r="A65">
        <v>34701</v>
      </c>
      <c r="B65" t="s">
        <v>2764</v>
      </c>
      <c r="C65">
        <v>3.1366240233182907E-2</v>
      </c>
      <c r="D65">
        <v>3.8912583142518997E-2</v>
      </c>
      <c r="E65">
        <v>0.63208001852035522</v>
      </c>
      <c r="F65">
        <v>15.228974342346191</v>
      </c>
      <c r="G65">
        <v>4110168</v>
      </c>
    </row>
    <row r="66" spans="1:7" x14ac:dyDescent="0.2">
      <c r="A66">
        <v>30402</v>
      </c>
      <c r="B66" t="s">
        <v>2766</v>
      </c>
      <c r="C66">
        <v>-5.7482380419969559E-2</v>
      </c>
      <c r="D66">
        <v>-8.7814196944236755E-2</v>
      </c>
      <c r="E66">
        <v>0.55539631843566895</v>
      </c>
      <c r="F66">
        <v>15.225324630737305</v>
      </c>
      <c r="G66">
        <v>4095193</v>
      </c>
    </row>
    <row r="67" spans="1:7" x14ac:dyDescent="0.2">
      <c r="A67">
        <v>38901</v>
      </c>
      <c r="B67" t="s">
        <v>2765</v>
      </c>
      <c r="C67">
        <v>-6.1413977295160294E-2</v>
      </c>
      <c r="D67">
        <v>-9.2865914106369019E-2</v>
      </c>
      <c r="E67">
        <v>0.56922233104705811</v>
      </c>
      <c r="F67">
        <v>15.225016593933105</v>
      </c>
      <c r="G67">
        <v>4093933</v>
      </c>
    </row>
    <row r="68" spans="1:7" x14ac:dyDescent="0.2">
      <c r="A68">
        <v>31600</v>
      </c>
      <c r="B68" t="s">
        <v>2767</v>
      </c>
      <c r="C68">
        <v>-7.0585831999778748E-2</v>
      </c>
      <c r="D68">
        <v>-0.10963372141122818</v>
      </c>
      <c r="E68">
        <v>0.45441260933876038</v>
      </c>
      <c r="F68">
        <v>15.209066390991211</v>
      </c>
      <c r="G68">
        <v>4029151</v>
      </c>
    </row>
    <row r="69" spans="1:7" x14ac:dyDescent="0.2">
      <c r="A69">
        <v>28202</v>
      </c>
      <c r="B69" t="s">
        <v>2768</v>
      </c>
      <c r="C69">
        <v>-3.1417284160852432E-2</v>
      </c>
      <c r="D69">
        <v>-4.9000438302755356E-2</v>
      </c>
      <c r="E69">
        <v>0.63648557662963867</v>
      </c>
      <c r="F69">
        <v>15.207918167114258</v>
      </c>
      <c r="G69">
        <v>4024528</v>
      </c>
    </row>
    <row r="70" spans="1:7" x14ac:dyDescent="0.2">
      <c r="A70">
        <v>8300</v>
      </c>
      <c r="B70" t="s">
        <v>2769</v>
      </c>
      <c r="C70">
        <v>-7.8198298811912537E-2</v>
      </c>
      <c r="D70">
        <v>-0.11694691330194473</v>
      </c>
      <c r="E70">
        <v>0.56649833917617798</v>
      </c>
      <c r="F70">
        <v>15.187561988830566</v>
      </c>
      <c r="G70">
        <v>3943431</v>
      </c>
    </row>
    <row r="71" spans="1:7" x14ac:dyDescent="0.2">
      <c r="A71">
        <v>30601</v>
      </c>
      <c r="B71" t="s">
        <v>2770</v>
      </c>
      <c r="C71">
        <v>-8.3361014723777771E-2</v>
      </c>
      <c r="D71">
        <v>-0.12517131865024567</v>
      </c>
      <c r="E71">
        <v>0.55572926998138428</v>
      </c>
      <c r="F71">
        <v>15.14117431640625</v>
      </c>
      <c r="G71">
        <v>3764684</v>
      </c>
    </row>
    <row r="72" spans="1:7" x14ac:dyDescent="0.2">
      <c r="A72">
        <v>3500</v>
      </c>
      <c r="B72" t="s">
        <v>2771</v>
      </c>
      <c r="C72">
        <v>-3.0181144829839468E-3</v>
      </c>
      <c r="D72">
        <v>-1.3187327422201633E-2</v>
      </c>
      <c r="E72">
        <v>0.54887509346008301</v>
      </c>
      <c r="F72">
        <v>15.134529113769531</v>
      </c>
      <c r="G72">
        <v>3739749</v>
      </c>
    </row>
    <row r="73" spans="1:7" x14ac:dyDescent="0.2">
      <c r="A73">
        <v>19300</v>
      </c>
      <c r="B73" t="s">
        <v>2772</v>
      </c>
      <c r="C73">
        <v>4.6439867466688156E-2</v>
      </c>
      <c r="D73">
        <v>5.7245854288339615E-2</v>
      </c>
      <c r="E73">
        <v>0.59927183389663696</v>
      </c>
      <c r="F73">
        <v>15.111239433288574</v>
      </c>
      <c r="G73">
        <v>3653659</v>
      </c>
    </row>
    <row r="74" spans="1:7" x14ac:dyDescent="0.2">
      <c r="A74">
        <v>34901</v>
      </c>
      <c r="B74" t="s">
        <v>2773</v>
      </c>
      <c r="C74">
        <v>-2.7795184403657913E-2</v>
      </c>
      <c r="D74">
        <v>-4.6863846480846405E-2</v>
      </c>
      <c r="E74">
        <v>0.60983097553253174</v>
      </c>
      <c r="F74">
        <v>15.062767028808594</v>
      </c>
      <c r="G74">
        <v>3480781</v>
      </c>
    </row>
    <row r="75" spans="1:7" x14ac:dyDescent="0.2">
      <c r="A75">
        <v>18800</v>
      </c>
      <c r="B75" t="s">
        <v>2774</v>
      </c>
      <c r="C75">
        <v>-6.6377103328704834E-2</v>
      </c>
      <c r="D75">
        <v>-0.10350445657968521</v>
      </c>
      <c r="E75">
        <v>0.53182816505432129</v>
      </c>
      <c r="F75">
        <v>15.049817085266113</v>
      </c>
      <c r="G75">
        <v>3435995</v>
      </c>
    </row>
    <row r="76" spans="1:7" x14ac:dyDescent="0.2">
      <c r="A76">
        <v>8100</v>
      </c>
      <c r="B76" t="s">
        <v>2775</v>
      </c>
      <c r="C76">
        <v>-6.3834637403488159E-2</v>
      </c>
      <c r="D76">
        <v>-9.7607225179672241E-2</v>
      </c>
      <c r="E76">
        <v>0.60803169012069702</v>
      </c>
      <c r="F76">
        <v>15.040923118591309</v>
      </c>
      <c r="G76">
        <v>3405571</v>
      </c>
    </row>
    <row r="77" spans="1:7" x14ac:dyDescent="0.2">
      <c r="A77">
        <v>7200</v>
      </c>
      <c r="B77" t="s">
        <v>2776</v>
      </c>
      <c r="C77">
        <v>-4.870947077870369E-2</v>
      </c>
      <c r="D77">
        <v>-8.0247186124324799E-2</v>
      </c>
      <c r="E77">
        <v>0.49633798003196716</v>
      </c>
      <c r="F77">
        <v>15.029569625854492</v>
      </c>
      <c r="G77">
        <v>3367125</v>
      </c>
    </row>
    <row r="78" spans="1:7" x14ac:dyDescent="0.2">
      <c r="A78">
        <v>13501</v>
      </c>
      <c r="B78" t="s">
        <v>2777</v>
      </c>
      <c r="C78">
        <v>-6.249598041176796E-2</v>
      </c>
      <c r="D78">
        <v>-9.751177579164505E-2</v>
      </c>
      <c r="E78">
        <v>0.56805217266082764</v>
      </c>
      <c r="F78">
        <v>15.007145881652832</v>
      </c>
      <c r="G78">
        <v>3292460</v>
      </c>
    </row>
    <row r="79" spans="1:7" x14ac:dyDescent="0.2">
      <c r="A79">
        <v>99999</v>
      </c>
      <c r="B79" t="s">
        <v>2778</v>
      </c>
      <c r="C79">
        <v>7.933516800403595E-2</v>
      </c>
      <c r="D79">
        <v>0.10070173442363739</v>
      </c>
      <c r="E79">
        <v>0.57496392726898193</v>
      </c>
      <c r="F79">
        <v>14.989043235778809</v>
      </c>
      <c r="G79">
        <v>3233394</v>
      </c>
    </row>
    <row r="80" spans="1:7" x14ac:dyDescent="0.2">
      <c r="A80">
        <v>27501</v>
      </c>
      <c r="B80" t="s">
        <v>2779</v>
      </c>
      <c r="C80">
        <v>-1.2063372880220413E-2</v>
      </c>
      <c r="D80">
        <v>-2.4293242022395134E-2</v>
      </c>
      <c r="E80">
        <v>0.6623692512512207</v>
      </c>
      <c r="F80">
        <v>14.983826637268066</v>
      </c>
      <c r="G80">
        <v>3216573</v>
      </c>
    </row>
    <row r="81" spans="1:7" x14ac:dyDescent="0.2">
      <c r="A81">
        <v>23100</v>
      </c>
      <c r="B81" t="s">
        <v>2780</v>
      </c>
      <c r="C81">
        <v>-2.055015042424202E-2</v>
      </c>
      <c r="D81">
        <v>-3.5088703036308289E-2</v>
      </c>
      <c r="E81">
        <v>0.69986265897750854</v>
      </c>
      <c r="F81">
        <v>14.97340202331543</v>
      </c>
      <c r="G81">
        <v>3183213</v>
      </c>
    </row>
    <row r="82" spans="1:7" x14ac:dyDescent="0.2">
      <c r="A82">
        <v>302</v>
      </c>
      <c r="B82" t="s">
        <v>2781</v>
      </c>
      <c r="C82">
        <v>-9.2108532786369324E-2</v>
      </c>
      <c r="D82">
        <v>-0.13950401544570923</v>
      </c>
      <c r="E82">
        <v>0.57140105962753296</v>
      </c>
      <c r="F82">
        <v>14.957220077514648</v>
      </c>
      <c r="G82">
        <v>3132117</v>
      </c>
    </row>
    <row r="83" spans="1:7" x14ac:dyDescent="0.2">
      <c r="A83">
        <v>8202</v>
      </c>
      <c r="B83" t="s">
        <v>2783</v>
      </c>
      <c r="C83">
        <v>-3.8696978241205215E-2</v>
      </c>
      <c r="D83">
        <v>-6.3210330903530121E-2</v>
      </c>
      <c r="E83">
        <v>0.62400799989700317</v>
      </c>
      <c r="F83">
        <v>14.952420234680176</v>
      </c>
      <c r="G83">
        <v>3117122</v>
      </c>
    </row>
    <row r="84" spans="1:7" x14ac:dyDescent="0.2">
      <c r="A84">
        <v>28401</v>
      </c>
      <c r="B84" t="s">
        <v>2782</v>
      </c>
      <c r="C84">
        <v>-5.0605837255716324E-2</v>
      </c>
      <c r="D84">
        <v>-7.8992493450641632E-2</v>
      </c>
      <c r="E84">
        <v>0.65102511644363403</v>
      </c>
      <c r="F84">
        <v>14.95157527923584</v>
      </c>
      <c r="G84">
        <v>3114488</v>
      </c>
    </row>
    <row r="85" spans="1:7" x14ac:dyDescent="0.2">
      <c r="A85">
        <v>37000</v>
      </c>
      <c r="B85" t="s">
        <v>2784</v>
      </c>
      <c r="C85">
        <v>4.2062874883413315E-2</v>
      </c>
      <c r="D85">
        <v>4.3513767421245575E-2</v>
      </c>
      <c r="E85">
        <v>0.45100826025009155</v>
      </c>
      <c r="F85">
        <v>14.913557052612305</v>
      </c>
      <c r="G85">
        <v>2998302</v>
      </c>
    </row>
    <row r="86" spans="1:7" x14ac:dyDescent="0.2">
      <c r="A86">
        <v>6900</v>
      </c>
      <c r="B86" t="s">
        <v>2785</v>
      </c>
      <c r="C86">
        <v>-6.9826632738113403E-2</v>
      </c>
      <c r="D86">
        <v>-0.11110090464353561</v>
      </c>
      <c r="E86">
        <v>0.51170164346694946</v>
      </c>
      <c r="F86">
        <v>14.900431632995605</v>
      </c>
      <c r="G86">
        <v>2959207</v>
      </c>
    </row>
    <row r="87" spans="1:7" x14ac:dyDescent="0.2">
      <c r="A87">
        <v>4200</v>
      </c>
      <c r="B87" t="s">
        <v>2786</v>
      </c>
      <c r="C87">
        <v>-5.125768855214119E-2</v>
      </c>
      <c r="D87">
        <v>-8.2485921680927277E-2</v>
      </c>
      <c r="E87">
        <v>0.59673774242401123</v>
      </c>
      <c r="F87">
        <v>14.893665313720703</v>
      </c>
      <c r="G87">
        <v>2939251</v>
      </c>
    </row>
    <row r="88" spans="1:7" x14ac:dyDescent="0.2">
      <c r="A88">
        <v>20100</v>
      </c>
      <c r="B88" t="s">
        <v>2787</v>
      </c>
      <c r="C88">
        <v>-8.1631138920783997E-2</v>
      </c>
      <c r="D88">
        <v>-0.1246870756149292</v>
      </c>
      <c r="E88">
        <v>0.60683721303939819</v>
      </c>
      <c r="F88">
        <v>14.888489723205566</v>
      </c>
      <c r="G88">
        <v>2924079</v>
      </c>
    </row>
    <row r="89" spans="1:7" x14ac:dyDescent="0.2">
      <c r="A89">
        <v>37100</v>
      </c>
      <c r="B89" t="s">
        <v>2788</v>
      </c>
      <c r="C89">
        <v>5.3917791694402695E-2</v>
      </c>
      <c r="D89">
        <v>5.891244113445282E-2</v>
      </c>
      <c r="E89">
        <v>0.42605960369110107</v>
      </c>
      <c r="F89">
        <v>14.887999534606934</v>
      </c>
      <c r="G89">
        <v>2922645</v>
      </c>
    </row>
    <row r="90" spans="1:7" x14ac:dyDescent="0.2">
      <c r="A90">
        <v>19000</v>
      </c>
      <c r="B90" t="s">
        <v>2789</v>
      </c>
      <c r="C90">
        <v>-2.2167449351400137E-3</v>
      </c>
      <c r="D90">
        <v>-1.5463734045624733E-2</v>
      </c>
      <c r="E90">
        <v>0.55330741405487061</v>
      </c>
      <c r="F90">
        <v>14.885363578796387</v>
      </c>
      <c r="G90">
        <v>2914951</v>
      </c>
    </row>
    <row r="91" spans="1:7" x14ac:dyDescent="0.2">
      <c r="A91">
        <v>38601</v>
      </c>
      <c r="B91" t="s">
        <v>2790</v>
      </c>
      <c r="C91">
        <v>-6.1613891273736954E-2</v>
      </c>
      <c r="D91">
        <v>-9.7478136420249939E-2</v>
      </c>
      <c r="E91">
        <v>0.60115945339202881</v>
      </c>
      <c r="F91">
        <v>14.847214698791504</v>
      </c>
      <c r="G91">
        <v>2805843</v>
      </c>
    </row>
    <row r="92" spans="1:7" x14ac:dyDescent="0.2">
      <c r="A92">
        <v>10900</v>
      </c>
      <c r="B92" t="s">
        <v>2791</v>
      </c>
      <c r="C92">
        <v>-8.0276355147361755E-2</v>
      </c>
      <c r="D92">
        <v>-0.12409383058547974</v>
      </c>
      <c r="E92">
        <v>0.588309645652771</v>
      </c>
      <c r="F92">
        <v>14.839228630065918</v>
      </c>
      <c r="G92">
        <v>2783524</v>
      </c>
    </row>
    <row r="93" spans="1:7" x14ac:dyDescent="0.2">
      <c r="A93">
        <v>16400</v>
      </c>
      <c r="B93" t="s">
        <v>2792</v>
      </c>
      <c r="C93">
        <v>-0.11233799159526825</v>
      </c>
      <c r="D93">
        <v>-0.17223864793777466</v>
      </c>
      <c r="E93">
        <v>0.48780491948127747</v>
      </c>
      <c r="F93">
        <v>14.834111213684082</v>
      </c>
      <c r="G93">
        <v>2769316</v>
      </c>
    </row>
    <row r="94" spans="1:7" x14ac:dyDescent="0.2">
      <c r="A94">
        <v>38200</v>
      </c>
      <c r="B94" t="s">
        <v>2793</v>
      </c>
      <c r="C94">
        <v>6.2608405947685242E-2</v>
      </c>
      <c r="D94">
        <v>7.5817212462425232E-2</v>
      </c>
      <c r="E94">
        <v>0.60074567794799805</v>
      </c>
      <c r="F94">
        <v>14.824347496032715</v>
      </c>
      <c r="G94">
        <v>2742410</v>
      </c>
    </row>
    <row r="95" spans="1:7" x14ac:dyDescent="0.2">
      <c r="A95">
        <v>20800</v>
      </c>
      <c r="B95" t="s">
        <v>2794</v>
      </c>
      <c r="C95">
        <v>2.473801001906395E-2</v>
      </c>
      <c r="D95">
        <v>2.3010926321148872E-2</v>
      </c>
      <c r="E95">
        <v>0.60566037893295288</v>
      </c>
      <c r="F95">
        <v>14.822120666503906</v>
      </c>
      <c r="G95">
        <v>2736309</v>
      </c>
    </row>
    <row r="96" spans="1:7" x14ac:dyDescent="0.2">
      <c r="A96">
        <v>35801</v>
      </c>
      <c r="B96" t="s">
        <v>2795</v>
      </c>
      <c r="C96">
        <v>-8.3081170916557312E-2</v>
      </c>
      <c r="D96">
        <v>-0.1286700963973999</v>
      </c>
      <c r="E96">
        <v>0.57814723253250122</v>
      </c>
      <c r="F96">
        <v>14.816253662109375</v>
      </c>
      <c r="G96">
        <v>2720302</v>
      </c>
    </row>
    <row r="97" spans="1:7" x14ac:dyDescent="0.2">
      <c r="A97">
        <v>14900</v>
      </c>
      <c r="B97" t="s">
        <v>2796</v>
      </c>
      <c r="C97">
        <v>-9.7306433599442244E-4</v>
      </c>
      <c r="D97">
        <v>-1.5224919654428959E-2</v>
      </c>
      <c r="E97">
        <v>0.54029953479766846</v>
      </c>
      <c r="F97">
        <v>14.809494972229004</v>
      </c>
      <c r="G97">
        <v>2701979</v>
      </c>
    </row>
    <row r="98" spans="1:7" x14ac:dyDescent="0.2">
      <c r="A98">
        <v>28800</v>
      </c>
      <c r="B98" t="s">
        <v>2797</v>
      </c>
      <c r="C98">
        <v>-2.1837089210748672E-2</v>
      </c>
      <c r="D98">
        <v>-4.1192792356014252E-2</v>
      </c>
      <c r="E98">
        <v>0.64100021123886108</v>
      </c>
      <c r="F98">
        <v>14.80466365814209</v>
      </c>
      <c r="G98">
        <v>2688957</v>
      </c>
    </row>
    <row r="99" spans="1:7" x14ac:dyDescent="0.2">
      <c r="A99">
        <v>19800</v>
      </c>
      <c r="B99" t="s">
        <v>2798</v>
      </c>
      <c r="C99">
        <v>7.033354789018631E-2</v>
      </c>
      <c r="D99">
        <v>8.6041837930679321E-2</v>
      </c>
      <c r="E99">
        <v>0.59221142530441284</v>
      </c>
      <c r="F99">
        <v>14.803464889526367</v>
      </c>
      <c r="G99">
        <v>2685735</v>
      </c>
    </row>
    <row r="100" spans="1:7" x14ac:dyDescent="0.2">
      <c r="A100">
        <v>15000</v>
      </c>
      <c r="B100" t="s">
        <v>2799</v>
      </c>
      <c r="C100">
        <v>-9.5585867762565613E-2</v>
      </c>
      <c r="D100">
        <v>-0.14984957873821259</v>
      </c>
      <c r="E100">
        <v>0.47233706712722778</v>
      </c>
      <c r="F100">
        <v>14.797148704528809</v>
      </c>
      <c r="G100">
        <v>2668825</v>
      </c>
    </row>
    <row r="101" spans="1:7" x14ac:dyDescent="0.2">
      <c r="A101">
        <v>24000</v>
      </c>
      <c r="B101" t="s">
        <v>2800</v>
      </c>
      <c r="C101">
        <v>-3.1161714345216751E-2</v>
      </c>
      <c r="D101">
        <v>-5.8087419718503952E-2</v>
      </c>
      <c r="E101">
        <v>0.53514033555984497</v>
      </c>
      <c r="F101">
        <v>14.774399757385254</v>
      </c>
      <c r="G101">
        <v>2608798</v>
      </c>
    </row>
    <row r="102" spans="1:7" x14ac:dyDescent="0.2">
      <c r="A102">
        <v>22500</v>
      </c>
      <c r="B102" t="s">
        <v>2801</v>
      </c>
      <c r="C102">
        <v>-5.3859341889619827E-2</v>
      </c>
      <c r="D102">
        <v>-8.9342936873435974E-2</v>
      </c>
      <c r="E102">
        <v>0.55284875631332397</v>
      </c>
      <c r="F102">
        <v>14.767115592956543</v>
      </c>
      <c r="G102">
        <v>2589862</v>
      </c>
    </row>
    <row r="103" spans="1:7" x14ac:dyDescent="0.2">
      <c r="A103">
        <v>24400</v>
      </c>
      <c r="B103" t="s">
        <v>2802</v>
      </c>
      <c r="C103">
        <v>-4.8188600689172745E-2</v>
      </c>
      <c r="D103">
        <v>-8.2404166460037231E-2</v>
      </c>
      <c r="E103">
        <v>0.52465015649795532</v>
      </c>
      <c r="F103">
        <v>14.761932373046875</v>
      </c>
      <c r="G103">
        <v>2576473</v>
      </c>
    </row>
    <row r="104" spans="1:7" x14ac:dyDescent="0.2">
      <c r="A104">
        <v>12901</v>
      </c>
      <c r="B104" t="s">
        <v>2804</v>
      </c>
      <c r="C104">
        <v>-7.7043160796165466E-2</v>
      </c>
      <c r="D104">
        <v>-0.11980096995830536</v>
      </c>
      <c r="E104">
        <v>0.61609148979187012</v>
      </c>
      <c r="F104">
        <v>14.759922027587891</v>
      </c>
      <c r="G104">
        <v>2571300</v>
      </c>
    </row>
    <row r="105" spans="1:7" x14ac:dyDescent="0.2">
      <c r="A105">
        <v>1900</v>
      </c>
      <c r="B105" t="s">
        <v>2803</v>
      </c>
      <c r="C105">
        <v>-9.5155015587806702E-2</v>
      </c>
      <c r="D105">
        <v>-0.14775341749191284</v>
      </c>
      <c r="E105">
        <v>0.5378110408782959</v>
      </c>
      <c r="F105">
        <v>14.752939224243164</v>
      </c>
      <c r="G105">
        <v>2553408</v>
      </c>
    </row>
    <row r="106" spans="1:7" x14ac:dyDescent="0.2">
      <c r="A106">
        <v>1400</v>
      </c>
      <c r="B106" t="s">
        <v>2805</v>
      </c>
      <c r="C106">
        <v>-8.6054369807243347E-2</v>
      </c>
      <c r="D106">
        <v>-0.13448064029216766</v>
      </c>
      <c r="E106">
        <v>0.55635249614715576</v>
      </c>
      <c r="F106">
        <v>14.749508857727051</v>
      </c>
      <c r="G106">
        <v>2544662</v>
      </c>
    </row>
    <row r="107" spans="1:7" x14ac:dyDescent="0.2">
      <c r="A107">
        <v>6800</v>
      </c>
      <c r="B107" t="s">
        <v>2806</v>
      </c>
      <c r="C107">
        <v>-6.1968434602022171E-2</v>
      </c>
      <c r="D107">
        <v>-0.10436587035655975</v>
      </c>
      <c r="E107">
        <v>0.44881477952003479</v>
      </c>
      <c r="F107">
        <v>14.744840621948242</v>
      </c>
      <c r="G107">
        <v>2532811</v>
      </c>
    </row>
    <row r="108" spans="1:7" x14ac:dyDescent="0.2">
      <c r="A108">
        <v>13600</v>
      </c>
      <c r="B108" t="s">
        <v>2807</v>
      </c>
      <c r="C108">
        <v>-7.6795071363449097E-2</v>
      </c>
      <c r="D108">
        <v>-0.12273558974266052</v>
      </c>
      <c r="E108">
        <v>0.52431422472000122</v>
      </c>
      <c r="F108">
        <v>14.738326072692871</v>
      </c>
      <c r="G108">
        <v>2516365</v>
      </c>
    </row>
    <row r="109" spans="1:7" x14ac:dyDescent="0.2">
      <c r="A109">
        <v>6000</v>
      </c>
      <c r="B109" t="s">
        <v>2808</v>
      </c>
      <c r="C109">
        <v>-3.5599295049905777E-2</v>
      </c>
      <c r="D109">
        <v>-6.3206009566783905E-2</v>
      </c>
      <c r="E109">
        <v>0.59920710325241089</v>
      </c>
      <c r="F109">
        <v>14.704557418823242</v>
      </c>
      <c r="G109">
        <v>2432810</v>
      </c>
    </row>
    <row r="110" spans="1:7" x14ac:dyDescent="0.2">
      <c r="A110">
        <v>2500</v>
      </c>
      <c r="B110" t="s">
        <v>2810</v>
      </c>
      <c r="C110">
        <v>-1.9204471260309219E-2</v>
      </c>
      <c r="D110">
        <v>-4.0082696825265884E-2</v>
      </c>
      <c r="E110">
        <v>0.60597950220108032</v>
      </c>
      <c r="F110">
        <v>14.703690528869629</v>
      </c>
      <c r="G110">
        <v>2430701</v>
      </c>
    </row>
    <row r="111" spans="1:7" x14ac:dyDescent="0.2">
      <c r="A111">
        <v>29301</v>
      </c>
      <c r="B111" t="s">
        <v>2809</v>
      </c>
      <c r="C111">
        <v>-6.4295202493667603E-2</v>
      </c>
      <c r="D111">
        <v>-0.10396154224872589</v>
      </c>
      <c r="E111">
        <v>0.58175313472747803</v>
      </c>
      <c r="F111">
        <v>14.698948860168457</v>
      </c>
      <c r="G111">
        <v>2419203</v>
      </c>
    </row>
    <row r="112" spans="1:7" x14ac:dyDescent="0.2">
      <c r="A112">
        <v>16500</v>
      </c>
      <c r="B112" t="s">
        <v>2811</v>
      </c>
      <c r="C112">
        <v>-0.10343621671199799</v>
      </c>
      <c r="D112">
        <v>-0.16155716776847839</v>
      </c>
      <c r="E112">
        <v>0.49605950713157654</v>
      </c>
      <c r="F112">
        <v>14.691329956054688</v>
      </c>
      <c r="G112">
        <v>2400841</v>
      </c>
    </row>
    <row r="113" spans="1:7" x14ac:dyDescent="0.2">
      <c r="A113">
        <v>37700</v>
      </c>
      <c r="B113" t="s">
        <v>2812</v>
      </c>
      <c r="C113">
        <v>7.3767669498920441E-2</v>
      </c>
      <c r="D113">
        <v>8.8697239756584167E-2</v>
      </c>
      <c r="E113">
        <v>0.57741880416870117</v>
      </c>
      <c r="F113">
        <v>14.686261177062988</v>
      </c>
      <c r="G113">
        <v>2388703</v>
      </c>
    </row>
    <row r="114" spans="1:7" x14ac:dyDescent="0.2">
      <c r="A114">
        <v>7300</v>
      </c>
      <c r="B114" t="s">
        <v>2813</v>
      </c>
      <c r="C114">
        <v>-6.0656759887933731E-2</v>
      </c>
      <c r="D114">
        <v>-9.9394902586936951E-2</v>
      </c>
      <c r="E114">
        <v>0.57247871160507202</v>
      </c>
      <c r="F114">
        <v>14.683573722839355</v>
      </c>
      <c r="G114">
        <v>2382293</v>
      </c>
    </row>
    <row r="115" spans="1:7" x14ac:dyDescent="0.2">
      <c r="A115">
        <v>14100</v>
      </c>
      <c r="B115" t="s">
        <v>2814</v>
      </c>
      <c r="C115">
        <v>-6.853426992893219E-2</v>
      </c>
      <c r="D115">
        <v>-0.11193160712718964</v>
      </c>
      <c r="E115">
        <v>0.5282827615737915</v>
      </c>
      <c r="F115">
        <v>14.677002906799316</v>
      </c>
      <c r="G115">
        <v>2366691</v>
      </c>
    </row>
    <row r="116" spans="1:7" x14ac:dyDescent="0.2">
      <c r="A116">
        <v>11001</v>
      </c>
      <c r="B116" t="s">
        <v>2815</v>
      </c>
      <c r="C116">
        <v>-6.9614961743354797E-2</v>
      </c>
      <c r="D116">
        <v>-0.11270525306463242</v>
      </c>
      <c r="E116">
        <v>0.55258351564407349</v>
      </c>
      <c r="F116">
        <v>14.673434257507324</v>
      </c>
      <c r="G116">
        <v>2358259</v>
      </c>
    </row>
    <row r="117" spans="1:7" x14ac:dyDescent="0.2">
      <c r="A117">
        <v>1302</v>
      </c>
      <c r="B117" t="s">
        <v>2816</v>
      </c>
      <c r="C117">
        <v>-0.12240184843540192</v>
      </c>
      <c r="D117">
        <v>-0.1875414103269577</v>
      </c>
      <c r="E117">
        <v>0.52163171768188477</v>
      </c>
      <c r="F117">
        <v>14.669964790344238</v>
      </c>
      <c r="G117">
        <v>2350091</v>
      </c>
    </row>
    <row r="118" spans="1:7" x14ac:dyDescent="0.2">
      <c r="A118">
        <v>37604</v>
      </c>
      <c r="B118" t="s">
        <v>2817</v>
      </c>
      <c r="C118">
        <v>8.5027776658535004E-3</v>
      </c>
      <c r="D118">
        <v>-4.0085441432893276E-3</v>
      </c>
      <c r="E118">
        <v>0.54888415336608887</v>
      </c>
      <c r="F118">
        <v>14.647132873535156</v>
      </c>
      <c r="G118">
        <v>2297042</v>
      </c>
    </row>
    <row r="119" spans="1:7" x14ac:dyDescent="0.2">
      <c r="A119">
        <v>36000</v>
      </c>
      <c r="B119" t="s">
        <v>2819</v>
      </c>
      <c r="C119">
        <v>-4.0353182703256607E-2</v>
      </c>
      <c r="D119">
        <v>-6.8346589803695679E-2</v>
      </c>
      <c r="E119">
        <v>0.67525368928909302</v>
      </c>
      <c r="F119">
        <v>14.636956214904785</v>
      </c>
      <c r="G119">
        <v>2273784</v>
      </c>
    </row>
    <row r="120" spans="1:7" x14ac:dyDescent="0.2">
      <c r="A120">
        <v>3003</v>
      </c>
      <c r="B120" t="s">
        <v>2818</v>
      </c>
      <c r="C120">
        <v>-6.7212268710136414E-2</v>
      </c>
      <c r="D120">
        <v>-0.10742240399122238</v>
      </c>
      <c r="E120">
        <v>0.62828660011291504</v>
      </c>
      <c r="F120">
        <v>14.636191368103027</v>
      </c>
      <c r="G120">
        <v>2272046</v>
      </c>
    </row>
    <row r="121" spans="1:7" x14ac:dyDescent="0.2">
      <c r="A121">
        <v>7500</v>
      </c>
      <c r="B121" t="s">
        <v>2820</v>
      </c>
      <c r="C121">
        <v>-9.4964280724525452E-2</v>
      </c>
      <c r="D121">
        <v>-0.14993777871131897</v>
      </c>
      <c r="E121">
        <v>0.52150380611419678</v>
      </c>
      <c r="F121">
        <v>14.617636680603027</v>
      </c>
      <c r="G121">
        <v>2230277</v>
      </c>
    </row>
    <row r="122" spans="1:7" x14ac:dyDescent="0.2">
      <c r="A122">
        <v>3800</v>
      </c>
      <c r="B122" t="s">
        <v>2822</v>
      </c>
      <c r="C122">
        <v>-3.880276158452034E-2</v>
      </c>
      <c r="D122">
        <v>-7.3775023221969604E-2</v>
      </c>
      <c r="E122">
        <v>0.45717176795005798</v>
      </c>
      <c r="F122">
        <v>14.59984016418457</v>
      </c>
      <c r="G122">
        <v>2190938</v>
      </c>
    </row>
    <row r="123" spans="1:7" x14ac:dyDescent="0.2">
      <c r="A123">
        <v>8401</v>
      </c>
      <c r="B123" t="s">
        <v>2821</v>
      </c>
      <c r="C123">
        <v>-5.8365169912576675E-2</v>
      </c>
      <c r="D123">
        <v>-9.8138570785522461E-2</v>
      </c>
      <c r="E123">
        <v>0.54921901226043701</v>
      </c>
      <c r="F123">
        <v>14.599614143371582</v>
      </c>
      <c r="G123">
        <v>2190443</v>
      </c>
    </row>
    <row r="124" spans="1:7" x14ac:dyDescent="0.2">
      <c r="A124">
        <v>100</v>
      </c>
      <c r="B124" t="s">
        <v>2825</v>
      </c>
      <c r="C124">
        <v>-0.15260903537273407</v>
      </c>
      <c r="D124">
        <v>-0.23167538642883301</v>
      </c>
      <c r="E124">
        <v>0.50406092405319214</v>
      </c>
      <c r="F124">
        <v>14.575519561767578</v>
      </c>
      <c r="G124">
        <v>2138295</v>
      </c>
    </row>
    <row r="125" spans="1:7" x14ac:dyDescent="0.2">
      <c r="A125">
        <v>8800</v>
      </c>
      <c r="B125" t="s">
        <v>2823</v>
      </c>
      <c r="C125">
        <v>-5.9228602796792984E-2</v>
      </c>
      <c r="D125">
        <v>-9.9028624594211578E-2</v>
      </c>
      <c r="E125">
        <v>0.57107424736022949</v>
      </c>
      <c r="F125">
        <v>14.572057723999023</v>
      </c>
      <c r="G125">
        <v>2130905</v>
      </c>
    </row>
    <row r="126" spans="1:7" x14ac:dyDescent="0.2">
      <c r="A126">
        <v>6401</v>
      </c>
      <c r="B126" t="s">
        <v>2824</v>
      </c>
      <c r="C126">
        <v>-7.7108487486839294E-2</v>
      </c>
      <c r="D126">
        <v>-0.12424974143505096</v>
      </c>
      <c r="E126">
        <v>0.56558877229690552</v>
      </c>
      <c r="F126">
        <v>14.568438529968262</v>
      </c>
      <c r="G126">
        <v>2123207</v>
      </c>
    </row>
    <row r="127" spans="1:7" x14ac:dyDescent="0.2">
      <c r="A127">
        <v>23900</v>
      </c>
      <c r="B127" t="s">
        <v>2826</v>
      </c>
      <c r="C127">
        <v>-3.7195894867181778E-2</v>
      </c>
      <c r="D127">
        <v>-6.831805408000946E-2</v>
      </c>
      <c r="E127">
        <v>0.57245719432830811</v>
      </c>
      <c r="F127">
        <v>14.562850952148438</v>
      </c>
      <c r="G127">
        <v>2111377</v>
      </c>
    </row>
    <row r="128" spans="1:7" x14ac:dyDescent="0.2">
      <c r="A128">
        <v>401</v>
      </c>
      <c r="B128" t="s">
        <v>2827</v>
      </c>
      <c r="C128">
        <v>-6.6003307700157166E-2</v>
      </c>
      <c r="D128">
        <v>-0.10874467343091965</v>
      </c>
      <c r="E128">
        <v>0.56805938482284546</v>
      </c>
      <c r="F128">
        <v>14.561579704284668</v>
      </c>
      <c r="G128">
        <v>2108695</v>
      </c>
    </row>
    <row r="129" spans="1:7" x14ac:dyDescent="0.2">
      <c r="A129">
        <v>12100</v>
      </c>
      <c r="B129" t="s">
        <v>2828</v>
      </c>
      <c r="C129">
        <v>-6.7780062556266785E-2</v>
      </c>
      <c r="D129">
        <v>-0.11026874184608459</v>
      </c>
      <c r="E129">
        <v>0.60079497098922729</v>
      </c>
      <c r="F129">
        <v>14.554431915283203</v>
      </c>
      <c r="G129">
        <v>2093676</v>
      </c>
    </row>
    <row r="130" spans="1:7" x14ac:dyDescent="0.2">
      <c r="A130">
        <v>19901</v>
      </c>
      <c r="B130" t="s">
        <v>2829</v>
      </c>
      <c r="C130">
        <v>-1.6730088740587234E-2</v>
      </c>
      <c r="D130">
        <v>-4.1649192571640015E-2</v>
      </c>
      <c r="E130">
        <v>0.51784205436706543</v>
      </c>
      <c r="F130">
        <v>14.551068305969238</v>
      </c>
      <c r="G130">
        <v>2086646</v>
      </c>
    </row>
    <row r="131" spans="1:7" x14ac:dyDescent="0.2">
      <c r="A131">
        <v>30300</v>
      </c>
      <c r="B131" t="s">
        <v>2830</v>
      </c>
      <c r="C131">
        <v>-2.9084179550409317E-2</v>
      </c>
      <c r="D131">
        <v>-5.8464664965867996E-2</v>
      </c>
      <c r="E131">
        <v>0.53607761859893799</v>
      </c>
      <c r="F131">
        <v>14.541328430175781</v>
      </c>
      <c r="G131">
        <v>2066421</v>
      </c>
    </row>
    <row r="132" spans="1:7" x14ac:dyDescent="0.2">
      <c r="A132">
        <v>31700</v>
      </c>
      <c r="B132" t="s">
        <v>2832</v>
      </c>
      <c r="C132">
        <v>-2.8142783790826797E-2</v>
      </c>
      <c r="D132">
        <v>-5.9462215751409531E-2</v>
      </c>
      <c r="E132">
        <v>0.47963672876358032</v>
      </c>
      <c r="F132">
        <v>14.507256507873535</v>
      </c>
      <c r="G132">
        <v>1997199</v>
      </c>
    </row>
    <row r="133" spans="1:7" x14ac:dyDescent="0.2">
      <c r="A133">
        <v>29700</v>
      </c>
      <c r="B133" t="s">
        <v>2831</v>
      </c>
      <c r="C133">
        <v>-0.13526628911495209</v>
      </c>
      <c r="D133">
        <v>-0.20649448037147522</v>
      </c>
      <c r="E133">
        <v>0.56402206420898438</v>
      </c>
      <c r="F133">
        <v>14.504885673522949</v>
      </c>
      <c r="G133">
        <v>1992470</v>
      </c>
    </row>
    <row r="134" spans="1:7" x14ac:dyDescent="0.2">
      <c r="A134">
        <v>9600</v>
      </c>
      <c r="B134" t="s">
        <v>2834</v>
      </c>
      <c r="C134">
        <v>-5.7016912847757339E-2</v>
      </c>
      <c r="D134">
        <v>-9.8985582590103149E-2</v>
      </c>
      <c r="E134">
        <v>0.51449143886566162</v>
      </c>
      <c r="F134">
        <v>14.486580848693848</v>
      </c>
      <c r="G134">
        <v>1956330</v>
      </c>
    </row>
    <row r="135" spans="1:7" x14ac:dyDescent="0.2">
      <c r="A135">
        <v>11700</v>
      </c>
      <c r="B135" t="s">
        <v>2833</v>
      </c>
      <c r="C135">
        <v>-5.9269595891237259E-2</v>
      </c>
      <c r="D135">
        <v>-9.7401432693004608E-2</v>
      </c>
      <c r="E135">
        <v>0.66125798225402832</v>
      </c>
      <c r="F135">
        <v>14.484894752502441</v>
      </c>
      <c r="G135">
        <v>1953035</v>
      </c>
    </row>
    <row r="136" spans="1:7" x14ac:dyDescent="0.2">
      <c r="A136">
        <v>9900</v>
      </c>
      <c r="B136" t="s">
        <v>2837</v>
      </c>
      <c r="C136">
        <v>-6.94170743227005E-2</v>
      </c>
      <c r="D136">
        <v>-0.11293566972017288</v>
      </c>
      <c r="E136">
        <v>0.63040328025817871</v>
      </c>
      <c r="F136">
        <v>14.460232734680176</v>
      </c>
      <c r="G136">
        <v>1905458</v>
      </c>
    </row>
    <row r="137" spans="1:7" x14ac:dyDescent="0.2">
      <c r="A137">
        <v>16600</v>
      </c>
      <c r="B137" t="s">
        <v>2836</v>
      </c>
      <c r="C137">
        <v>-7.51924067735672E-2</v>
      </c>
      <c r="D137">
        <v>-0.12241975963115692</v>
      </c>
      <c r="E137">
        <v>0.58801960945129395</v>
      </c>
      <c r="F137">
        <v>14.457569122314453</v>
      </c>
      <c r="G137">
        <v>1900389</v>
      </c>
    </row>
    <row r="138" spans="1:7" x14ac:dyDescent="0.2">
      <c r="A138">
        <v>6600</v>
      </c>
      <c r="B138" t="s">
        <v>2835</v>
      </c>
      <c r="C138">
        <v>-6.1754170805215836E-2</v>
      </c>
      <c r="D138">
        <v>-0.10849858820438385</v>
      </c>
      <c r="E138">
        <v>0.43825066089630127</v>
      </c>
      <c r="F138">
        <v>14.456992149353027</v>
      </c>
      <c r="G138">
        <v>1899292</v>
      </c>
    </row>
    <row r="139" spans="1:7" x14ac:dyDescent="0.2">
      <c r="A139">
        <v>4002</v>
      </c>
      <c r="B139" t="s">
        <v>2838</v>
      </c>
      <c r="C139">
        <v>-7.1956247091293335E-2</v>
      </c>
      <c r="D139">
        <v>-0.11976739019155502</v>
      </c>
      <c r="E139">
        <v>0.53191548585891724</v>
      </c>
      <c r="F139">
        <v>14.453864097595215</v>
      </c>
      <c r="G139">
        <v>1893361</v>
      </c>
    </row>
    <row r="140" spans="1:7" x14ac:dyDescent="0.2">
      <c r="A140">
        <v>17400</v>
      </c>
      <c r="B140" t="s">
        <v>2839</v>
      </c>
      <c r="C140">
        <v>-2.5910127907991409E-2</v>
      </c>
      <c r="D140">
        <v>-5.8241900056600571E-2</v>
      </c>
      <c r="E140">
        <v>0.45228859782218933</v>
      </c>
      <c r="F140">
        <v>14.435887336730957</v>
      </c>
      <c r="G140">
        <v>1859629</v>
      </c>
    </row>
    <row r="141" spans="1:7" x14ac:dyDescent="0.2">
      <c r="A141">
        <v>11900</v>
      </c>
      <c r="B141" t="s">
        <v>2840</v>
      </c>
      <c r="C141">
        <v>-9.3352749943733215E-2</v>
      </c>
      <c r="D141">
        <v>-0.14916829764842987</v>
      </c>
      <c r="E141">
        <v>0.56070780754089355</v>
      </c>
      <c r="F141">
        <v>14.423825263977051</v>
      </c>
      <c r="G141">
        <v>1837333</v>
      </c>
    </row>
    <row r="142" spans="1:7" x14ac:dyDescent="0.2">
      <c r="A142">
        <v>2700</v>
      </c>
      <c r="B142" t="s">
        <v>2841</v>
      </c>
      <c r="C142">
        <v>-8.7596938014030457E-2</v>
      </c>
      <c r="D142">
        <v>-0.14247003197669983</v>
      </c>
      <c r="E142">
        <v>0.52887606620788574</v>
      </c>
      <c r="F142">
        <v>14.401633262634277</v>
      </c>
      <c r="G142">
        <v>1797007</v>
      </c>
    </row>
    <row r="143" spans="1:7" x14ac:dyDescent="0.2">
      <c r="A143">
        <v>32100</v>
      </c>
      <c r="B143" t="s">
        <v>2842</v>
      </c>
      <c r="C143">
        <v>-7.1051754057407379E-3</v>
      </c>
      <c r="D143">
        <v>-3.2000642269849777E-2</v>
      </c>
      <c r="E143">
        <v>0.47080722451210022</v>
      </c>
      <c r="F143">
        <v>14.390570640563965</v>
      </c>
      <c r="G143">
        <v>1777237</v>
      </c>
    </row>
    <row r="144" spans="1:7" x14ac:dyDescent="0.2">
      <c r="A144">
        <v>1500</v>
      </c>
      <c r="B144" t="s">
        <v>2843</v>
      </c>
      <c r="C144">
        <v>-7.5865745544433594E-2</v>
      </c>
      <c r="D144">
        <v>-0.12407752126455307</v>
      </c>
      <c r="E144">
        <v>0.59920197725296021</v>
      </c>
      <c r="F144">
        <v>14.381626129150391</v>
      </c>
      <c r="G144">
        <v>1761411</v>
      </c>
    </row>
    <row r="145" spans="1:7" x14ac:dyDescent="0.2">
      <c r="A145">
        <v>1203</v>
      </c>
      <c r="B145" t="s">
        <v>2844</v>
      </c>
      <c r="C145">
        <v>-0.1197589784860611</v>
      </c>
      <c r="D145">
        <v>-0.18524210155010223</v>
      </c>
      <c r="E145">
        <v>0.61178362369537354</v>
      </c>
      <c r="F145">
        <v>14.366148948669434</v>
      </c>
      <c r="G145">
        <v>1734360</v>
      </c>
    </row>
    <row r="146" spans="1:7" x14ac:dyDescent="0.2">
      <c r="A146">
        <v>15100</v>
      </c>
      <c r="B146" t="s">
        <v>2845</v>
      </c>
      <c r="C146">
        <v>-5.3488824516534805E-2</v>
      </c>
      <c r="D146">
        <v>-9.5738358795642853E-2</v>
      </c>
      <c r="E146">
        <v>0.51842612028121948</v>
      </c>
      <c r="F146">
        <v>14.359066963195801</v>
      </c>
      <c r="G146">
        <v>1722120</v>
      </c>
    </row>
    <row r="147" spans="1:7" x14ac:dyDescent="0.2">
      <c r="A147">
        <v>33300</v>
      </c>
      <c r="B147" t="s">
        <v>2847</v>
      </c>
      <c r="C147">
        <v>-6.2593743205070496E-2</v>
      </c>
      <c r="D147">
        <v>-0.10968541353940964</v>
      </c>
      <c r="E147">
        <v>0.48535698652267456</v>
      </c>
      <c r="F147">
        <v>14.348601341247559</v>
      </c>
      <c r="G147">
        <v>1704191</v>
      </c>
    </row>
    <row r="148" spans="1:7" x14ac:dyDescent="0.2">
      <c r="A148">
        <v>800</v>
      </c>
      <c r="B148" t="s">
        <v>2846</v>
      </c>
      <c r="C148">
        <v>-9.0649530291557312E-2</v>
      </c>
      <c r="D148">
        <v>-0.14788299798965454</v>
      </c>
      <c r="E148">
        <v>0.51837038993835449</v>
      </c>
      <c r="F148">
        <v>14.344930648803711</v>
      </c>
      <c r="G148">
        <v>1697948</v>
      </c>
    </row>
    <row r="149" spans="1:7" x14ac:dyDescent="0.2">
      <c r="A149">
        <v>1100</v>
      </c>
      <c r="B149" t="s">
        <v>2849</v>
      </c>
      <c r="C149">
        <v>-7.6111197471618652E-2</v>
      </c>
      <c r="D149">
        <v>-0.1278853714466095</v>
      </c>
      <c r="E149">
        <v>0.51781326532363892</v>
      </c>
      <c r="F149">
        <v>14.323427200317383</v>
      </c>
      <c r="G149">
        <v>1661825</v>
      </c>
    </row>
    <row r="150" spans="1:7" x14ac:dyDescent="0.2">
      <c r="A150">
        <v>32900</v>
      </c>
      <c r="B150" t="s">
        <v>2850</v>
      </c>
      <c r="C150">
        <v>-4.6367067843675613E-2</v>
      </c>
      <c r="D150">
        <v>-8.5983164608478546E-2</v>
      </c>
      <c r="E150">
        <v>0.53105121850967407</v>
      </c>
      <c r="F150">
        <v>14.31623649597168</v>
      </c>
      <c r="G150">
        <v>1649918</v>
      </c>
    </row>
    <row r="151" spans="1:7" x14ac:dyDescent="0.2">
      <c r="A151">
        <v>14700</v>
      </c>
      <c r="B151" t="s">
        <v>2848</v>
      </c>
      <c r="C151">
        <v>-7.8953996300697327E-2</v>
      </c>
      <c r="D151">
        <v>-0.13114754855632782</v>
      </c>
      <c r="E151">
        <v>0.54394221305847168</v>
      </c>
      <c r="F151">
        <v>14.313894271850586</v>
      </c>
      <c r="G151">
        <v>1646059</v>
      </c>
    </row>
    <row r="152" spans="1:7" x14ac:dyDescent="0.2">
      <c r="A152">
        <v>39100</v>
      </c>
      <c r="B152" t="s">
        <v>2852</v>
      </c>
      <c r="C152">
        <v>2.3395892232656479E-2</v>
      </c>
      <c r="D152">
        <v>1.1127344332635403E-2</v>
      </c>
      <c r="E152">
        <v>0.526908278465271</v>
      </c>
      <c r="F152">
        <v>14.29741096496582</v>
      </c>
      <c r="G152">
        <v>1619149</v>
      </c>
    </row>
    <row r="153" spans="1:7" x14ac:dyDescent="0.2">
      <c r="A153">
        <v>31900</v>
      </c>
      <c r="B153" t="s">
        <v>2851</v>
      </c>
      <c r="C153">
        <v>7.9418592154979706E-2</v>
      </c>
      <c r="D153">
        <v>9.0804100036621094E-2</v>
      </c>
      <c r="E153">
        <v>0.56950122117996216</v>
      </c>
      <c r="F153">
        <v>14.296684265136719</v>
      </c>
      <c r="G153">
        <v>1617972</v>
      </c>
    </row>
    <row r="154" spans="1:7" x14ac:dyDescent="0.2">
      <c r="A154">
        <v>23500</v>
      </c>
      <c r="B154" t="s">
        <v>2853</v>
      </c>
      <c r="C154">
        <v>-5.001266673207283E-2</v>
      </c>
      <c r="D154">
        <v>-8.8644251227378845E-2</v>
      </c>
      <c r="E154">
        <v>0.61737257242202759</v>
      </c>
      <c r="F154">
        <v>14.290678977966309</v>
      </c>
      <c r="G154">
        <v>1608285</v>
      </c>
    </row>
    <row r="155" spans="1:7" x14ac:dyDescent="0.2">
      <c r="A155">
        <v>28101</v>
      </c>
      <c r="B155" t="s">
        <v>2854</v>
      </c>
      <c r="C155">
        <v>-9.0767636895179749E-2</v>
      </c>
      <c r="D155">
        <v>-0.1438724547624588</v>
      </c>
      <c r="E155">
        <v>0.67161673307418823</v>
      </c>
      <c r="F155">
        <v>14.289242744445801</v>
      </c>
      <c r="G155">
        <v>1605977</v>
      </c>
    </row>
    <row r="156" spans="1:7" x14ac:dyDescent="0.2">
      <c r="A156">
        <v>22700</v>
      </c>
      <c r="B156" t="s">
        <v>2855</v>
      </c>
      <c r="C156">
        <v>-7.6446115970611572E-2</v>
      </c>
      <c r="D156">
        <v>-0.12825928628444672</v>
      </c>
      <c r="E156">
        <v>0.54417240619659424</v>
      </c>
      <c r="F156">
        <v>14.269930839538574</v>
      </c>
      <c r="G156">
        <v>1575260</v>
      </c>
    </row>
    <row r="157" spans="1:7" x14ac:dyDescent="0.2">
      <c r="A157">
        <v>8900</v>
      </c>
      <c r="B157" t="s">
        <v>2856</v>
      </c>
      <c r="C157">
        <v>-5.5976692587137222E-2</v>
      </c>
      <c r="D157">
        <v>-9.9609799683094025E-2</v>
      </c>
      <c r="E157">
        <v>0.54995346069335938</v>
      </c>
      <c r="F157">
        <v>14.259420394897461</v>
      </c>
      <c r="G157">
        <v>1558790</v>
      </c>
    </row>
    <row r="158" spans="1:7" x14ac:dyDescent="0.2">
      <c r="A158">
        <v>23801</v>
      </c>
      <c r="B158" t="s">
        <v>2857</v>
      </c>
      <c r="C158">
        <v>-4.1455540806055069E-2</v>
      </c>
      <c r="D158">
        <v>-7.8579895198345184E-2</v>
      </c>
      <c r="E158">
        <v>0.58092373609542847</v>
      </c>
      <c r="F158">
        <v>14.24034309387207</v>
      </c>
      <c r="G158">
        <v>1529335</v>
      </c>
    </row>
    <row r="159" spans="1:7" x14ac:dyDescent="0.2">
      <c r="A159">
        <v>14500</v>
      </c>
      <c r="B159" t="s">
        <v>2859</v>
      </c>
      <c r="C159">
        <v>-7.3136225342750549E-2</v>
      </c>
      <c r="D159">
        <v>-0.12354445457458496</v>
      </c>
      <c r="E159">
        <v>0.55997210741043091</v>
      </c>
      <c r="F159">
        <v>14.240110397338867</v>
      </c>
      <c r="G159">
        <v>1528978</v>
      </c>
    </row>
    <row r="160" spans="1:7" x14ac:dyDescent="0.2">
      <c r="A160">
        <v>37300</v>
      </c>
      <c r="B160" t="s">
        <v>2861</v>
      </c>
      <c r="C160">
        <v>-5.2352584898471832E-3</v>
      </c>
      <c r="D160">
        <v>-2.8650859370827675E-2</v>
      </c>
      <c r="E160">
        <v>0.56056463718414307</v>
      </c>
      <c r="F160">
        <v>14.237628936767578</v>
      </c>
      <c r="G160">
        <v>1525189</v>
      </c>
    </row>
    <row r="161" spans="1:7" x14ac:dyDescent="0.2">
      <c r="A161">
        <v>24900</v>
      </c>
      <c r="B161" t="s">
        <v>2858</v>
      </c>
      <c r="C161">
        <v>-3.624025359749794E-2</v>
      </c>
      <c r="D161">
        <v>-7.146318256855011E-2</v>
      </c>
      <c r="E161">
        <v>0.57684433460235596</v>
      </c>
      <c r="F161">
        <v>14.237470626831055</v>
      </c>
      <c r="G161">
        <v>1524947</v>
      </c>
    </row>
    <row r="162" spans="1:7" x14ac:dyDescent="0.2">
      <c r="A162">
        <v>13700</v>
      </c>
      <c r="B162" t="s">
        <v>2860</v>
      </c>
      <c r="C162">
        <v>-5.6066025048494339E-2</v>
      </c>
      <c r="D162">
        <v>-0.10456859320402145</v>
      </c>
      <c r="E162">
        <v>0.41528782248497009</v>
      </c>
      <c r="F162">
        <v>14.226388931274414</v>
      </c>
      <c r="G162">
        <v>1508142</v>
      </c>
    </row>
    <row r="163" spans="1:7" x14ac:dyDescent="0.2">
      <c r="A163">
        <v>11301</v>
      </c>
      <c r="B163" t="s">
        <v>2865</v>
      </c>
      <c r="C163">
        <v>9.0661704540252686E-2</v>
      </c>
      <c r="D163">
        <v>0.10566845536231995</v>
      </c>
      <c r="E163">
        <v>0.57678520679473877</v>
      </c>
      <c r="F163">
        <v>14.220182418823242</v>
      </c>
      <c r="G163">
        <v>1498811</v>
      </c>
    </row>
    <row r="164" spans="1:7" x14ac:dyDescent="0.2">
      <c r="A164">
        <v>11101</v>
      </c>
      <c r="B164" t="s">
        <v>2862</v>
      </c>
      <c r="C164">
        <v>-4.5284707099199295E-2</v>
      </c>
      <c r="D164">
        <v>-8.4697909653186798E-2</v>
      </c>
      <c r="E164">
        <v>0.56701642274856567</v>
      </c>
      <c r="F164">
        <v>14.218174934387207</v>
      </c>
      <c r="G164">
        <v>1495805</v>
      </c>
    </row>
    <row r="165" spans="1:7" x14ac:dyDescent="0.2">
      <c r="A165">
        <v>29601</v>
      </c>
      <c r="B165" t="s">
        <v>2863</v>
      </c>
      <c r="C165">
        <v>-9.8939284682273865E-2</v>
      </c>
      <c r="D165">
        <v>-0.15800581872463226</v>
      </c>
      <c r="E165">
        <v>0.62108021974563599</v>
      </c>
      <c r="F165">
        <v>14.213695526123047</v>
      </c>
      <c r="G165">
        <v>1489120</v>
      </c>
    </row>
    <row r="166" spans="1:7" x14ac:dyDescent="0.2">
      <c r="A166">
        <v>14000</v>
      </c>
      <c r="B166" t="s">
        <v>2864</v>
      </c>
      <c r="C166">
        <v>-0.11878575384616852</v>
      </c>
      <c r="D166">
        <v>-0.19004103541374207</v>
      </c>
      <c r="E166">
        <v>0.49435940384864807</v>
      </c>
      <c r="F166">
        <v>14.200508117675781</v>
      </c>
      <c r="G166">
        <v>1469611</v>
      </c>
    </row>
    <row r="167" spans="1:7" x14ac:dyDescent="0.2">
      <c r="A167">
        <v>16200</v>
      </c>
      <c r="B167" t="s">
        <v>2867</v>
      </c>
      <c r="C167">
        <v>-0.1127236932516098</v>
      </c>
      <c r="D167">
        <v>-0.18299548327922821</v>
      </c>
      <c r="E167">
        <v>0.4514947235584259</v>
      </c>
      <c r="F167">
        <v>14.197798728942871</v>
      </c>
      <c r="G167">
        <v>1465634</v>
      </c>
    </row>
    <row r="168" spans="1:7" x14ac:dyDescent="0.2">
      <c r="A168">
        <v>29204</v>
      </c>
      <c r="B168" t="s">
        <v>2866</v>
      </c>
      <c r="C168">
        <v>-7.7446207404136658E-2</v>
      </c>
      <c r="D168">
        <v>-0.12836487591266632</v>
      </c>
      <c r="E168">
        <v>0.61619901657104492</v>
      </c>
      <c r="F168">
        <v>14.19658374786377</v>
      </c>
      <c r="G168">
        <v>1463855</v>
      </c>
    </row>
    <row r="169" spans="1:7" x14ac:dyDescent="0.2">
      <c r="A169">
        <v>20200</v>
      </c>
      <c r="B169" t="s">
        <v>2868</v>
      </c>
      <c r="C169">
        <v>-3.713606670498848E-2</v>
      </c>
      <c r="D169">
        <v>-7.1424290537834167E-2</v>
      </c>
      <c r="E169">
        <v>0.63627320528030396</v>
      </c>
      <c r="F169">
        <v>14.192770957946777</v>
      </c>
      <c r="G169">
        <v>1458284</v>
      </c>
    </row>
    <row r="170" spans="1:7" x14ac:dyDescent="0.2">
      <c r="A170">
        <v>700</v>
      </c>
      <c r="B170" t="s">
        <v>2869</v>
      </c>
      <c r="C170">
        <v>-7.332022488117218E-2</v>
      </c>
      <c r="D170">
        <v>-0.12591554224491119</v>
      </c>
      <c r="E170">
        <v>0.51832097768783569</v>
      </c>
      <c r="F170">
        <v>14.186341285705566</v>
      </c>
      <c r="G170">
        <v>1448938</v>
      </c>
    </row>
    <row r="171" spans="1:7" x14ac:dyDescent="0.2">
      <c r="A171">
        <v>22601</v>
      </c>
      <c r="B171" t="s">
        <v>2870</v>
      </c>
      <c r="C171">
        <v>-3.7842500954866409E-2</v>
      </c>
      <c r="D171">
        <v>-7.4556708335876465E-2</v>
      </c>
      <c r="E171">
        <v>0.57417804002761841</v>
      </c>
      <c r="F171">
        <v>14.183449745178223</v>
      </c>
      <c r="G171">
        <v>1444754</v>
      </c>
    </row>
    <row r="172" spans="1:7" x14ac:dyDescent="0.2">
      <c r="A172">
        <v>22800</v>
      </c>
      <c r="B172" t="s">
        <v>2871</v>
      </c>
      <c r="C172">
        <v>-7.8655526041984558E-2</v>
      </c>
      <c r="D172">
        <v>-0.13149033486843109</v>
      </c>
      <c r="E172">
        <v>0.59172368049621582</v>
      </c>
      <c r="F172">
        <v>14.151409149169922</v>
      </c>
      <c r="G172">
        <v>1399197</v>
      </c>
    </row>
    <row r="173" spans="1:7" x14ac:dyDescent="0.2">
      <c r="A173">
        <v>7900</v>
      </c>
      <c r="B173" t="s">
        <v>2873</v>
      </c>
      <c r="C173">
        <v>-7.5776174664497375E-2</v>
      </c>
      <c r="D173">
        <v>-0.12627039849758148</v>
      </c>
      <c r="E173">
        <v>0.63090246915817261</v>
      </c>
      <c r="F173">
        <v>14.146162986755371</v>
      </c>
      <c r="G173">
        <v>1391876</v>
      </c>
    </row>
    <row r="174" spans="1:7" x14ac:dyDescent="0.2">
      <c r="A174">
        <v>7800</v>
      </c>
      <c r="B174" t="s">
        <v>2872</v>
      </c>
      <c r="C174">
        <v>-0.11004151403903961</v>
      </c>
      <c r="D174">
        <v>-0.18019859492778778</v>
      </c>
      <c r="E174">
        <v>0.44533836841583252</v>
      </c>
      <c r="F174">
        <v>14.144824981689453</v>
      </c>
      <c r="G174">
        <v>1390015</v>
      </c>
    </row>
    <row r="175" spans="1:7" x14ac:dyDescent="0.2">
      <c r="A175">
        <v>30802</v>
      </c>
      <c r="B175" t="s">
        <v>2874</v>
      </c>
      <c r="C175">
        <v>-6.5274655818939209E-2</v>
      </c>
      <c r="D175">
        <v>-0.11421801149845123</v>
      </c>
      <c r="E175">
        <v>0.55882048606872559</v>
      </c>
      <c r="F175">
        <v>14.125749588012695</v>
      </c>
      <c r="G175">
        <v>1363751</v>
      </c>
    </row>
    <row r="176" spans="1:7" x14ac:dyDescent="0.2">
      <c r="A176">
        <v>18100</v>
      </c>
      <c r="B176" t="s">
        <v>2876</v>
      </c>
      <c r="C176">
        <v>-5.8567885309457779E-2</v>
      </c>
      <c r="D176">
        <v>-0.10450240224599838</v>
      </c>
      <c r="E176">
        <v>0.57680630683898926</v>
      </c>
      <c r="F176">
        <v>14.108729362487793</v>
      </c>
      <c r="G176">
        <v>1340736</v>
      </c>
    </row>
    <row r="177" spans="1:7" x14ac:dyDescent="0.2">
      <c r="A177">
        <v>21400</v>
      </c>
      <c r="B177" t="s">
        <v>2875</v>
      </c>
      <c r="C177">
        <v>-1.8245432525873184E-2</v>
      </c>
      <c r="D177">
        <v>-4.6873088926076889E-2</v>
      </c>
      <c r="E177">
        <v>0.61659151315689087</v>
      </c>
      <c r="F177">
        <v>14.107215881347656</v>
      </c>
      <c r="G177">
        <v>1338708</v>
      </c>
    </row>
    <row r="178" spans="1:7" x14ac:dyDescent="0.2">
      <c r="A178">
        <v>31401</v>
      </c>
      <c r="B178" t="s">
        <v>2878</v>
      </c>
      <c r="C178">
        <v>7.5535602867603302E-2</v>
      </c>
      <c r="D178">
        <v>7.8712821006774902E-2</v>
      </c>
      <c r="E178">
        <v>0.4540024995803833</v>
      </c>
      <c r="F178">
        <v>14.091144561767578</v>
      </c>
      <c r="G178">
        <v>1317365</v>
      </c>
    </row>
    <row r="179" spans="1:7" x14ac:dyDescent="0.2">
      <c r="A179">
        <v>17600</v>
      </c>
      <c r="B179" t="s">
        <v>2879</v>
      </c>
      <c r="C179">
        <v>4.7899149358272552E-3</v>
      </c>
      <c r="D179">
        <v>-1.5544005669653416E-2</v>
      </c>
      <c r="E179">
        <v>0.59871071577072144</v>
      </c>
      <c r="F179">
        <v>14.086847305297852</v>
      </c>
      <c r="G179">
        <v>1311717</v>
      </c>
    </row>
    <row r="180" spans="1:7" x14ac:dyDescent="0.2">
      <c r="A180">
        <v>16100</v>
      </c>
      <c r="B180" t="s">
        <v>2877</v>
      </c>
      <c r="C180">
        <v>-8.987976610660553E-2</v>
      </c>
      <c r="D180">
        <v>-0.1497686356306076</v>
      </c>
      <c r="E180">
        <v>0.54099249839782715</v>
      </c>
      <c r="F180">
        <v>14.084882736206055</v>
      </c>
      <c r="G180">
        <v>1309142</v>
      </c>
    </row>
    <row r="181" spans="1:7" x14ac:dyDescent="0.2">
      <c r="A181">
        <v>9400</v>
      </c>
      <c r="B181" t="s">
        <v>2881</v>
      </c>
      <c r="C181">
        <v>-5.4272938519716263E-2</v>
      </c>
      <c r="D181">
        <v>-0.10314072668552399</v>
      </c>
      <c r="E181">
        <v>0.44746443629264832</v>
      </c>
      <c r="F181">
        <v>14.07708740234375</v>
      </c>
      <c r="G181">
        <v>1298977</v>
      </c>
    </row>
    <row r="182" spans="1:7" x14ac:dyDescent="0.2">
      <c r="A182">
        <v>3700</v>
      </c>
      <c r="B182" t="s">
        <v>2880</v>
      </c>
      <c r="C182">
        <v>-2.9402751475572586E-2</v>
      </c>
      <c r="D182">
        <v>-6.754370778799057E-2</v>
      </c>
      <c r="E182">
        <v>0.47785529494285583</v>
      </c>
      <c r="F182">
        <v>14.066482543945312</v>
      </c>
      <c r="G182">
        <v>1285274</v>
      </c>
    </row>
    <row r="183" spans="1:7" x14ac:dyDescent="0.2">
      <c r="A183">
        <v>36301</v>
      </c>
      <c r="B183" t="s">
        <v>2882</v>
      </c>
      <c r="C183">
        <v>-0.11239998042583466</v>
      </c>
      <c r="D183">
        <v>-0.18134084343910217</v>
      </c>
      <c r="E183">
        <v>0.55207020044326782</v>
      </c>
      <c r="F183">
        <v>14.052981376647949</v>
      </c>
      <c r="G183">
        <v>1268038</v>
      </c>
    </row>
    <row r="184" spans="1:7" x14ac:dyDescent="0.2">
      <c r="A184">
        <v>38100</v>
      </c>
      <c r="B184" t="s">
        <v>2883</v>
      </c>
      <c r="C184">
        <v>-2.1973539143800735E-2</v>
      </c>
      <c r="D184">
        <v>-5.7727523148059845E-2</v>
      </c>
      <c r="E184">
        <v>0.47484263777732849</v>
      </c>
      <c r="F184">
        <v>14.033370971679688</v>
      </c>
      <c r="G184">
        <v>1243414</v>
      </c>
    </row>
    <row r="185" spans="1:7" x14ac:dyDescent="0.2">
      <c r="A185">
        <v>14600</v>
      </c>
      <c r="B185" t="s">
        <v>2885</v>
      </c>
      <c r="C185">
        <v>-0.10387004911899567</v>
      </c>
      <c r="D185">
        <v>-0.16881723701953888</v>
      </c>
      <c r="E185">
        <v>0.58196759223937988</v>
      </c>
      <c r="F185">
        <v>14.027065277099609</v>
      </c>
      <c r="G185">
        <v>1235598</v>
      </c>
    </row>
    <row r="186" spans="1:7" x14ac:dyDescent="0.2">
      <c r="A186">
        <v>30100</v>
      </c>
      <c r="B186" t="s">
        <v>2884</v>
      </c>
      <c r="C186">
        <v>-0.11703918874263763</v>
      </c>
      <c r="D186">
        <v>-0.19153082370758057</v>
      </c>
      <c r="E186">
        <v>0.45269104838371277</v>
      </c>
      <c r="F186">
        <v>14.018882751464844</v>
      </c>
      <c r="G186">
        <v>1225529</v>
      </c>
    </row>
    <row r="187" spans="1:7" x14ac:dyDescent="0.2">
      <c r="A187">
        <v>35401</v>
      </c>
      <c r="B187" t="s">
        <v>2886</v>
      </c>
      <c r="C187">
        <v>-6.64643794298172E-2</v>
      </c>
      <c r="D187">
        <v>-0.11667605489492416</v>
      </c>
      <c r="E187">
        <v>0.58137786388397217</v>
      </c>
      <c r="F187">
        <v>14.018332481384277</v>
      </c>
      <c r="G187">
        <v>1224854</v>
      </c>
    </row>
    <row r="188" spans="1:7" x14ac:dyDescent="0.2">
      <c r="A188">
        <v>5900</v>
      </c>
      <c r="B188" t="s">
        <v>2888</v>
      </c>
      <c r="C188">
        <v>-9.7822651267051697E-2</v>
      </c>
      <c r="D188">
        <v>-0.16271586716175079</v>
      </c>
      <c r="E188">
        <v>0.52293825149536133</v>
      </c>
      <c r="F188">
        <v>13.996216773986816</v>
      </c>
      <c r="G188">
        <v>1198063</v>
      </c>
    </row>
    <row r="189" spans="1:7" x14ac:dyDescent="0.2">
      <c r="A189">
        <v>16000</v>
      </c>
      <c r="B189" t="s">
        <v>2892</v>
      </c>
      <c r="C189">
        <v>-0.10046721994876862</v>
      </c>
      <c r="D189">
        <v>-0.16919122636318207</v>
      </c>
      <c r="E189">
        <v>0.43830272555351257</v>
      </c>
      <c r="F189">
        <v>13.993700981140137</v>
      </c>
      <c r="G189">
        <v>1195053</v>
      </c>
    </row>
    <row r="190" spans="1:7" x14ac:dyDescent="0.2">
      <c r="A190">
        <v>9701</v>
      </c>
      <c r="B190" t="s">
        <v>2887</v>
      </c>
      <c r="C190">
        <v>-7.3510602116584778E-2</v>
      </c>
      <c r="D190">
        <v>-0.12807744741439819</v>
      </c>
      <c r="E190">
        <v>0.54583448171615601</v>
      </c>
      <c r="F190">
        <v>13.990150451660156</v>
      </c>
      <c r="G190">
        <v>1190817</v>
      </c>
    </row>
    <row r="191" spans="1:7" x14ac:dyDescent="0.2">
      <c r="A191">
        <v>26002</v>
      </c>
      <c r="B191" t="s">
        <v>2890</v>
      </c>
      <c r="C191">
        <v>-6.3547447323799133E-2</v>
      </c>
      <c r="D191">
        <v>-0.11187902092933655</v>
      </c>
      <c r="E191">
        <v>0.61618435382843018</v>
      </c>
      <c r="F191">
        <v>13.989598274230957</v>
      </c>
      <c r="G191">
        <v>1190160</v>
      </c>
    </row>
    <row r="192" spans="1:7" x14ac:dyDescent="0.2">
      <c r="A192">
        <v>16901</v>
      </c>
      <c r="B192" t="s">
        <v>2889</v>
      </c>
      <c r="C192">
        <v>-8.2830801606178284E-2</v>
      </c>
      <c r="D192">
        <v>-0.14217108488082886</v>
      </c>
      <c r="E192">
        <v>0.5135425329208374</v>
      </c>
      <c r="F192">
        <v>13.988772392272949</v>
      </c>
      <c r="G192">
        <v>1189177</v>
      </c>
    </row>
    <row r="193" spans="1:7" x14ac:dyDescent="0.2">
      <c r="A193">
        <v>32801</v>
      </c>
      <c r="B193" t="s">
        <v>2891</v>
      </c>
      <c r="C193">
        <v>-5.3015012294054031E-2</v>
      </c>
      <c r="D193">
        <v>-0.1006990447640419</v>
      </c>
      <c r="E193">
        <v>0.50870645046234131</v>
      </c>
      <c r="F193">
        <v>13.98548412322998</v>
      </c>
      <c r="G193">
        <v>1185273</v>
      </c>
    </row>
    <row r="194" spans="1:7" x14ac:dyDescent="0.2">
      <c r="A194">
        <v>26801</v>
      </c>
      <c r="B194" t="s">
        <v>2893</v>
      </c>
      <c r="C194">
        <v>-3.98971326649189E-2</v>
      </c>
      <c r="D194">
        <v>-7.6696649193763733E-2</v>
      </c>
      <c r="E194">
        <v>0.6872212290763855</v>
      </c>
      <c r="F194">
        <v>13.977099418640137</v>
      </c>
      <c r="G194">
        <v>1175377</v>
      </c>
    </row>
    <row r="195" spans="1:7" x14ac:dyDescent="0.2">
      <c r="A195">
        <v>22200</v>
      </c>
      <c r="B195" t="s">
        <v>2894</v>
      </c>
      <c r="C195">
        <v>-2.6863802224397659E-2</v>
      </c>
      <c r="D195">
        <v>-6.0162995010614395E-2</v>
      </c>
      <c r="E195">
        <v>0.6358492374420166</v>
      </c>
      <c r="F195">
        <v>13.975770950317383</v>
      </c>
      <c r="G195">
        <v>1173816</v>
      </c>
    </row>
    <row r="196" spans="1:7" x14ac:dyDescent="0.2">
      <c r="A196">
        <v>26503</v>
      </c>
      <c r="B196" t="s">
        <v>2895</v>
      </c>
      <c r="C196">
        <v>-6.804203987121582E-2</v>
      </c>
      <c r="D196">
        <v>-0.11830795556306839</v>
      </c>
      <c r="E196">
        <v>0.62795305252075195</v>
      </c>
      <c r="F196">
        <v>13.952438354492188</v>
      </c>
      <c r="G196">
        <v>1146745</v>
      </c>
    </row>
    <row r="197" spans="1:7" x14ac:dyDescent="0.2">
      <c r="A197">
        <v>33400</v>
      </c>
      <c r="B197" t="s">
        <v>2896</v>
      </c>
      <c r="C197">
        <v>-4.842614009976387E-2</v>
      </c>
      <c r="D197">
        <v>-9.6312537789344788E-2</v>
      </c>
      <c r="E197">
        <v>0.46727406978607178</v>
      </c>
      <c r="F197">
        <v>13.937287330627441</v>
      </c>
      <c r="G197">
        <v>1129502</v>
      </c>
    </row>
    <row r="198" spans="1:7" x14ac:dyDescent="0.2">
      <c r="A198">
        <v>17100</v>
      </c>
      <c r="B198" t="s">
        <v>2900</v>
      </c>
      <c r="C198">
        <v>-0.10801230370998383</v>
      </c>
      <c r="D198">
        <v>-0.17824167013168335</v>
      </c>
      <c r="E198">
        <v>0.50954931974411011</v>
      </c>
      <c r="F198">
        <v>13.936454772949219</v>
      </c>
      <c r="G198">
        <v>1128562</v>
      </c>
    </row>
    <row r="199" spans="1:7" x14ac:dyDescent="0.2">
      <c r="A199">
        <v>20001</v>
      </c>
      <c r="B199" t="s">
        <v>2898</v>
      </c>
      <c r="C199">
        <v>-0.11674250662326813</v>
      </c>
      <c r="D199">
        <v>-0.18832667171955109</v>
      </c>
      <c r="E199">
        <v>0.57503777742385864</v>
      </c>
      <c r="F199">
        <v>13.936120986938477</v>
      </c>
      <c r="G199">
        <v>1128185</v>
      </c>
    </row>
    <row r="200" spans="1:7" x14ac:dyDescent="0.2">
      <c r="A200">
        <v>21701</v>
      </c>
      <c r="B200" t="s">
        <v>2897</v>
      </c>
      <c r="C200">
        <v>5.7330839335918427E-3</v>
      </c>
      <c r="D200">
        <v>-1.4218812808394432E-2</v>
      </c>
      <c r="E200">
        <v>0.66588979959487915</v>
      </c>
      <c r="F200">
        <v>13.934085845947266</v>
      </c>
      <c r="G200">
        <v>1125892</v>
      </c>
    </row>
    <row r="201" spans="1:7" x14ac:dyDescent="0.2">
      <c r="A201">
        <v>11500</v>
      </c>
      <c r="B201" t="s">
        <v>2899</v>
      </c>
      <c r="C201">
        <v>-8.617885410785675E-2</v>
      </c>
      <c r="D201">
        <v>-0.14752542972564697</v>
      </c>
      <c r="E201">
        <v>0.5181308388710022</v>
      </c>
      <c r="F201">
        <v>13.930828094482422</v>
      </c>
      <c r="G201">
        <v>1122230</v>
      </c>
    </row>
    <row r="202" spans="1:7" x14ac:dyDescent="0.2">
      <c r="A202">
        <v>16702</v>
      </c>
      <c r="B202" t="s">
        <v>2902</v>
      </c>
      <c r="C202">
        <v>-8.5114225745201111E-2</v>
      </c>
      <c r="D202">
        <v>-0.14500139653682709</v>
      </c>
      <c r="E202">
        <v>0.55615073442459106</v>
      </c>
      <c r="F202">
        <v>13.917013168334961</v>
      </c>
      <c r="G202">
        <v>1106833</v>
      </c>
    </row>
    <row r="203" spans="1:7" x14ac:dyDescent="0.2">
      <c r="A203">
        <v>31800</v>
      </c>
      <c r="B203" t="s">
        <v>2901</v>
      </c>
      <c r="C203">
        <v>-3.7942249327898026E-2</v>
      </c>
      <c r="D203">
        <v>-7.6908707618713379E-2</v>
      </c>
      <c r="E203">
        <v>0.62570929527282715</v>
      </c>
      <c r="F203">
        <v>13.910175323486328</v>
      </c>
      <c r="G203">
        <v>1099290</v>
      </c>
    </row>
    <row r="204" spans="1:7" x14ac:dyDescent="0.2">
      <c r="A204">
        <v>24802</v>
      </c>
      <c r="B204" t="s">
        <v>2904</v>
      </c>
      <c r="C204">
        <v>-2.4798516184091568E-2</v>
      </c>
      <c r="D204">
        <v>-5.9972219169139862E-2</v>
      </c>
      <c r="E204">
        <v>0.58469843864440918</v>
      </c>
      <c r="F204">
        <v>13.902702331542969</v>
      </c>
      <c r="G204">
        <v>1091106</v>
      </c>
    </row>
    <row r="205" spans="1:7" x14ac:dyDescent="0.2">
      <c r="A205">
        <v>30903</v>
      </c>
      <c r="B205" t="s">
        <v>2905</v>
      </c>
      <c r="C205">
        <v>-2.3964930325746536E-2</v>
      </c>
      <c r="D205">
        <v>-6.0724392533302307E-2</v>
      </c>
      <c r="E205">
        <v>0.52730745077133179</v>
      </c>
      <c r="F205">
        <v>13.898674011230469</v>
      </c>
      <c r="G205">
        <v>1086719</v>
      </c>
    </row>
    <row r="206" spans="1:7" x14ac:dyDescent="0.2">
      <c r="A206">
        <v>17900</v>
      </c>
      <c r="B206" t="s">
        <v>2903</v>
      </c>
      <c r="C206">
        <v>-6.2375698238611221E-2</v>
      </c>
      <c r="D206">
        <v>-0.11306677013635635</v>
      </c>
      <c r="E206">
        <v>0.56923085451126099</v>
      </c>
      <c r="F206">
        <v>13.897835731506348</v>
      </c>
      <c r="G206">
        <v>1085809</v>
      </c>
    </row>
    <row r="207" spans="1:7" x14ac:dyDescent="0.2">
      <c r="A207">
        <v>10801</v>
      </c>
      <c r="B207" t="s">
        <v>2906</v>
      </c>
      <c r="C207">
        <v>-6.458909809589386E-2</v>
      </c>
      <c r="D207">
        <v>-0.11659324169158936</v>
      </c>
      <c r="E207">
        <v>0.5583309531211853</v>
      </c>
      <c r="F207">
        <v>13.892250061035156</v>
      </c>
      <c r="G207">
        <v>1079761</v>
      </c>
    </row>
    <row r="208" spans="1:7" x14ac:dyDescent="0.2">
      <c r="A208">
        <v>20302</v>
      </c>
      <c r="B208" t="s">
        <v>2908</v>
      </c>
      <c r="C208">
        <v>-6.5753743052482605E-2</v>
      </c>
      <c r="D208">
        <v>-0.11767972260713577</v>
      </c>
      <c r="E208">
        <v>0.57550203800201416</v>
      </c>
      <c r="F208">
        <v>13.891186714172363</v>
      </c>
      <c r="G208">
        <v>1078613</v>
      </c>
    </row>
    <row r="209" spans="1:7" x14ac:dyDescent="0.2">
      <c r="A209">
        <v>39000</v>
      </c>
      <c r="B209" t="s">
        <v>2910</v>
      </c>
      <c r="C209">
        <v>2.563057467341423E-2</v>
      </c>
      <c r="D209">
        <v>3.5314736887812614E-3</v>
      </c>
      <c r="E209">
        <v>0.38065287470817566</v>
      </c>
      <c r="F209">
        <v>13.876585960388184</v>
      </c>
      <c r="G209">
        <v>1062979</v>
      </c>
    </row>
    <row r="210" spans="1:7" x14ac:dyDescent="0.2">
      <c r="A210">
        <v>29901</v>
      </c>
      <c r="B210" t="s">
        <v>2907</v>
      </c>
      <c r="C210">
        <v>-0.11798347532749176</v>
      </c>
      <c r="D210">
        <v>-0.19336611032485962</v>
      </c>
      <c r="E210">
        <v>0.50305670499801636</v>
      </c>
      <c r="F210">
        <v>13.867716789245605</v>
      </c>
      <c r="G210">
        <v>1053593</v>
      </c>
    </row>
    <row r="211" spans="1:7" x14ac:dyDescent="0.2">
      <c r="A211">
        <v>3400</v>
      </c>
      <c r="B211" t="s">
        <v>2911</v>
      </c>
      <c r="C211">
        <v>-2.3476516362279654E-3</v>
      </c>
      <c r="D211">
        <v>-3.5911954939365387E-2</v>
      </c>
      <c r="E211">
        <v>0.37699764966964722</v>
      </c>
      <c r="F211">
        <v>13.861245155334473</v>
      </c>
      <c r="G211">
        <v>1046797</v>
      </c>
    </row>
    <row r="212" spans="1:7" x14ac:dyDescent="0.2">
      <c r="A212">
        <v>6100</v>
      </c>
      <c r="B212" t="s">
        <v>2909</v>
      </c>
      <c r="C212">
        <v>-0.11308877170085907</v>
      </c>
      <c r="D212">
        <v>-0.18772232532501221</v>
      </c>
      <c r="E212">
        <v>0.47198927402496338</v>
      </c>
      <c r="F212">
        <v>13.854279518127441</v>
      </c>
      <c r="G212">
        <v>1039530</v>
      </c>
    </row>
    <row r="213" spans="1:7" x14ac:dyDescent="0.2">
      <c r="A213">
        <v>9301</v>
      </c>
      <c r="B213" t="s">
        <v>2912</v>
      </c>
      <c r="C213">
        <v>-8.2823976874351501E-2</v>
      </c>
      <c r="D213">
        <v>-0.14207668602466583</v>
      </c>
      <c r="E213">
        <v>0.57965254783630371</v>
      </c>
      <c r="F213">
        <v>13.843939781188965</v>
      </c>
      <c r="G213">
        <v>1028837</v>
      </c>
    </row>
    <row r="214" spans="1:7" x14ac:dyDescent="0.2">
      <c r="A214">
        <v>13400</v>
      </c>
      <c r="B214" t="s">
        <v>2913</v>
      </c>
      <c r="C214">
        <v>-7.4078693985939026E-2</v>
      </c>
      <c r="D214">
        <v>-0.1331513375043869</v>
      </c>
      <c r="E214">
        <v>0.48196735978126526</v>
      </c>
      <c r="F214">
        <v>13.834617614746094</v>
      </c>
      <c r="G214">
        <v>1019291</v>
      </c>
    </row>
    <row r="215" spans="1:7" x14ac:dyDescent="0.2">
      <c r="A215">
        <v>14400</v>
      </c>
      <c r="B215" t="s">
        <v>2914</v>
      </c>
      <c r="C215">
        <v>-0.10929568111896515</v>
      </c>
      <c r="D215">
        <v>-0.18257442116737366</v>
      </c>
      <c r="E215">
        <v>0.48073872923851013</v>
      </c>
      <c r="F215">
        <v>13.823485374450684</v>
      </c>
      <c r="G215">
        <v>1008007</v>
      </c>
    </row>
    <row r="216" spans="1:7" x14ac:dyDescent="0.2">
      <c r="A216">
        <v>22900</v>
      </c>
      <c r="B216" t="s">
        <v>2915</v>
      </c>
      <c r="C216">
        <v>-6.7569032311439514E-2</v>
      </c>
      <c r="D216">
        <v>-0.12019840627908707</v>
      </c>
      <c r="E216">
        <v>0.60846561193466187</v>
      </c>
      <c r="F216">
        <v>13.817305564880371</v>
      </c>
      <c r="G216">
        <v>1001797</v>
      </c>
    </row>
    <row r="217" spans="1:7" x14ac:dyDescent="0.2">
      <c r="A217">
        <v>2300</v>
      </c>
      <c r="B217" t="s">
        <v>2917</v>
      </c>
      <c r="C217">
        <v>-7.9351112246513367E-2</v>
      </c>
      <c r="D217">
        <v>-0.13843005895614624</v>
      </c>
      <c r="E217">
        <v>0.55776643753051758</v>
      </c>
      <c r="F217">
        <v>13.808868408203125</v>
      </c>
      <c r="G217">
        <v>993380</v>
      </c>
    </row>
    <row r="218" spans="1:7" x14ac:dyDescent="0.2">
      <c r="A218">
        <v>13300</v>
      </c>
      <c r="B218" t="s">
        <v>2916</v>
      </c>
      <c r="C218">
        <v>-7.9330518841743469E-2</v>
      </c>
      <c r="D218">
        <v>-0.14086921513080597</v>
      </c>
      <c r="E218">
        <v>0.48635363578796387</v>
      </c>
      <c r="F218">
        <v>13.798074722290039</v>
      </c>
      <c r="G218">
        <v>982715</v>
      </c>
    </row>
    <row r="219" spans="1:7" x14ac:dyDescent="0.2">
      <c r="A219">
        <v>22100</v>
      </c>
      <c r="B219" t="s">
        <v>2918</v>
      </c>
      <c r="C219">
        <v>-5.2261713892221451E-2</v>
      </c>
      <c r="D219">
        <v>-9.6349872648715973E-2</v>
      </c>
      <c r="E219">
        <v>0.69270670413970947</v>
      </c>
      <c r="F219">
        <v>13.797750473022461</v>
      </c>
      <c r="G219">
        <v>982397</v>
      </c>
    </row>
    <row r="220" spans="1:7" x14ac:dyDescent="0.2">
      <c r="A220">
        <v>18300</v>
      </c>
      <c r="B220" t="s">
        <v>2919</v>
      </c>
      <c r="C220">
        <v>-6.6833376884460449E-2</v>
      </c>
      <c r="D220">
        <v>-0.12231811881065369</v>
      </c>
      <c r="E220">
        <v>0.52513498067855835</v>
      </c>
      <c r="F220">
        <v>13.785832405090332</v>
      </c>
      <c r="G220">
        <v>970758</v>
      </c>
    </row>
    <row r="221" spans="1:7" x14ac:dyDescent="0.2">
      <c r="A221">
        <v>36800</v>
      </c>
      <c r="B221" t="s">
        <v>2920</v>
      </c>
      <c r="C221">
        <v>-6.5674334764480591E-2</v>
      </c>
      <c r="D221">
        <v>-0.12114284932613373</v>
      </c>
      <c r="E221">
        <v>0.51241618394851685</v>
      </c>
      <c r="F221">
        <v>13.783539772033691</v>
      </c>
      <c r="G221">
        <v>968535</v>
      </c>
    </row>
    <row r="222" spans="1:7" x14ac:dyDescent="0.2">
      <c r="A222">
        <v>23400</v>
      </c>
      <c r="B222" t="s">
        <v>2921</v>
      </c>
      <c r="C222">
        <v>-2.0343398209661245E-3</v>
      </c>
      <c r="D222">
        <v>-2.8085460886359215E-2</v>
      </c>
      <c r="E222">
        <v>0.6445658802986145</v>
      </c>
      <c r="F222">
        <v>13.770907402038574</v>
      </c>
      <c r="G222">
        <v>956377</v>
      </c>
    </row>
    <row r="223" spans="1:7" x14ac:dyDescent="0.2">
      <c r="A223">
        <v>25601</v>
      </c>
      <c r="B223" t="s">
        <v>2925</v>
      </c>
      <c r="C223">
        <v>-0.10338704288005829</v>
      </c>
      <c r="D223">
        <v>-0.17210336029529572</v>
      </c>
      <c r="E223">
        <v>0.57866793870925903</v>
      </c>
      <c r="F223">
        <v>13.755791664123535</v>
      </c>
      <c r="G223">
        <v>942029</v>
      </c>
    </row>
    <row r="224" spans="1:7" x14ac:dyDescent="0.2">
      <c r="A224">
        <v>10302</v>
      </c>
      <c r="B224" t="s">
        <v>2922</v>
      </c>
      <c r="C224">
        <v>-9.6878066658973694E-2</v>
      </c>
      <c r="D224">
        <v>-0.16504339873790741</v>
      </c>
      <c r="E224">
        <v>0.51627117395401001</v>
      </c>
      <c r="F224">
        <v>13.754685401916504</v>
      </c>
      <c r="G224">
        <v>940988</v>
      </c>
    </row>
    <row r="225" spans="1:7" x14ac:dyDescent="0.2">
      <c r="A225">
        <v>22001</v>
      </c>
      <c r="B225" t="s">
        <v>2923</v>
      </c>
      <c r="C225">
        <v>-7.8077152371406555E-2</v>
      </c>
      <c r="D225">
        <v>-0.13656814396381378</v>
      </c>
      <c r="E225">
        <v>0.58456015586853027</v>
      </c>
      <c r="F225">
        <v>13.753464698791504</v>
      </c>
      <c r="G225">
        <v>939840</v>
      </c>
    </row>
    <row r="226" spans="1:7" x14ac:dyDescent="0.2">
      <c r="A226">
        <v>200</v>
      </c>
      <c r="B226" t="s">
        <v>2924</v>
      </c>
      <c r="C226">
        <v>-0.1427168995141983</v>
      </c>
      <c r="D226">
        <v>-0.23260289430618286</v>
      </c>
      <c r="E226">
        <v>0.41037413477897644</v>
      </c>
      <c r="F226">
        <v>13.750790596008301</v>
      </c>
      <c r="G226">
        <v>937330</v>
      </c>
    </row>
    <row r="227" spans="1:7" x14ac:dyDescent="0.2">
      <c r="A227">
        <v>31503</v>
      </c>
      <c r="B227" t="s">
        <v>2926</v>
      </c>
      <c r="C227">
        <v>-4.3171677738428116E-2</v>
      </c>
      <c r="D227">
        <v>-9.2536471784114838E-2</v>
      </c>
      <c r="E227">
        <v>0.45125985145568848</v>
      </c>
      <c r="F227">
        <v>13.722663879394531</v>
      </c>
      <c r="G227">
        <v>911333</v>
      </c>
    </row>
    <row r="228" spans="1:7" x14ac:dyDescent="0.2">
      <c r="A228">
        <v>1800</v>
      </c>
      <c r="B228" t="s">
        <v>2927</v>
      </c>
      <c r="C228">
        <v>-0.10112865269184113</v>
      </c>
      <c r="D228">
        <v>-0.17287072539329529</v>
      </c>
      <c r="E228">
        <v>0.47915470600128174</v>
      </c>
      <c r="F228">
        <v>13.706611633300781</v>
      </c>
      <c r="G228">
        <v>896821</v>
      </c>
    </row>
    <row r="229" spans="1:7" x14ac:dyDescent="0.2">
      <c r="A229">
        <v>8503</v>
      </c>
      <c r="B229" t="s">
        <v>2928</v>
      </c>
      <c r="C229">
        <v>-9.2501655220985413E-2</v>
      </c>
      <c r="D229">
        <v>-0.16020664572715759</v>
      </c>
      <c r="E229">
        <v>0.50343668460845947</v>
      </c>
      <c r="F229">
        <v>13.693841934204102</v>
      </c>
      <c r="G229">
        <v>885442</v>
      </c>
    </row>
    <row r="230" spans="1:7" x14ac:dyDescent="0.2">
      <c r="A230">
        <v>35201</v>
      </c>
      <c r="B230" t="s">
        <v>2929</v>
      </c>
      <c r="C230">
        <v>-6.0729939490556717E-2</v>
      </c>
      <c r="D230">
        <v>-0.11343088001012802</v>
      </c>
      <c r="E230">
        <v>0.57838243246078491</v>
      </c>
      <c r="F230">
        <v>13.68942928314209</v>
      </c>
      <c r="G230">
        <v>881543</v>
      </c>
    </row>
    <row r="231" spans="1:7" x14ac:dyDescent="0.2">
      <c r="A231">
        <v>39302</v>
      </c>
      <c r="B231" t="s">
        <v>2930</v>
      </c>
      <c r="C231">
        <v>6.6182725131511688E-3</v>
      </c>
      <c r="D231">
        <v>-1.7883608117699623E-2</v>
      </c>
      <c r="E231">
        <v>0.62760132551193237</v>
      </c>
      <c r="F231">
        <v>13.676409721374512</v>
      </c>
      <c r="G231">
        <v>870140</v>
      </c>
    </row>
    <row r="232" spans="1:7" x14ac:dyDescent="0.2">
      <c r="A232">
        <v>3901</v>
      </c>
      <c r="B232" t="s">
        <v>2932</v>
      </c>
      <c r="C232">
        <v>-7.4174895882606506E-2</v>
      </c>
      <c r="D232">
        <v>-0.1362394392490387</v>
      </c>
      <c r="E232">
        <v>0.47028130292892456</v>
      </c>
      <c r="F232">
        <v>13.65339183807373</v>
      </c>
      <c r="G232">
        <v>850340</v>
      </c>
    </row>
    <row r="233" spans="1:7" x14ac:dyDescent="0.2">
      <c r="A233">
        <v>18900</v>
      </c>
      <c r="B233" t="s">
        <v>2931</v>
      </c>
      <c r="C233">
        <v>-9.805162250995636E-2</v>
      </c>
      <c r="D233">
        <v>-0.16987258195877075</v>
      </c>
      <c r="E233">
        <v>0.46629771590232849</v>
      </c>
      <c r="F233">
        <v>13.644246101379395</v>
      </c>
      <c r="G233">
        <v>842599</v>
      </c>
    </row>
    <row r="234" spans="1:7" x14ac:dyDescent="0.2">
      <c r="A234">
        <v>1600</v>
      </c>
      <c r="B234" t="s">
        <v>2935</v>
      </c>
      <c r="C234">
        <v>-6.7677870392799377E-2</v>
      </c>
      <c r="D234">
        <v>-0.12722854316234589</v>
      </c>
      <c r="E234">
        <v>0.47587582468986511</v>
      </c>
      <c r="F234">
        <v>13.635674476623535</v>
      </c>
      <c r="G234">
        <v>835407</v>
      </c>
    </row>
    <row r="235" spans="1:7" x14ac:dyDescent="0.2">
      <c r="A235">
        <v>27601</v>
      </c>
      <c r="B235" t="s">
        <v>2936</v>
      </c>
      <c r="C235">
        <v>-0.11856527626514435</v>
      </c>
      <c r="D235">
        <v>-0.19530017673969269</v>
      </c>
      <c r="E235">
        <v>0.57315671443939209</v>
      </c>
      <c r="F235">
        <v>13.628924369812012</v>
      </c>
      <c r="G235">
        <v>829787</v>
      </c>
    </row>
    <row r="236" spans="1:7" x14ac:dyDescent="0.2">
      <c r="A236">
        <v>38700</v>
      </c>
      <c r="B236" t="s">
        <v>2933</v>
      </c>
      <c r="C236">
        <v>-2.3203570395708084E-2</v>
      </c>
      <c r="D236">
        <v>-6.4871355891227722E-2</v>
      </c>
      <c r="E236">
        <v>0.48720079660415649</v>
      </c>
      <c r="F236">
        <v>13.623391151428223</v>
      </c>
      <c r="G236">
        <v>825208</v>
      </c>
    </row>
    <row r="237" spans="1:7" x14ac:dyDescent="0.2">
      <c r="A237">
        <v>6200</v>
      </c>
      <c r="B237" t="s">
        <v>2939</v>
      </c>
      <c r="C237">
        <v>-9.1871544718742371E-2</v>
      </c>
      <c r="D237">
        <v>-0.16145461797714233</v>
      </c>
      <c r="E237">
        <v>0.47037425637245178</v>
      </c>
      <c r="F237">
        <v>13.619440078735352</v>
      </c>
      <c r="G237">
        <v>821954</v>
      </c>
    </row>
    <row r="238" spans="1:7" x14ac:dyDescent="0.2">
      <c r="A238">
        <v>17200</v>
      </c>
      <c r="B238" t="s">
        <v>2934</v>
      </c>
      <c r="C238">
        <v>-1.9974265247583389E-2</v>
      </c>
      <c r="D238">
        <v>-6.0061190277338028E-2</v>
      </c>
      <c r="E238">
        <v>0.50211745500564575</v>
      </c>
      <c r="F238">
        <v>13.610222816467285</v>
      </c>
      <c r="G238">
        <v>814413</v>
      </c>
    </row>
    <row r="239" spans="1:7" x14ac:dyDescent="0.2">
      <c r="A239">
        <v>6502</v>
      </c>
      <c r="B239" t="s">
        <v>2942</v>
      </c>
      <c r="C239">
        <v>-0.11496488749980927</v>
      </c>
      <c r="D239">
        <v>-0.19397102296352386</v>
      </c>
      <c r="E239">
        <v>0.46881824731826782</v>
      </c>
      <c r="F239">
        <v>13.606285095214844</v>
      </c>
      <c r="G239">
        <v>811212</v>
      </c>
    </row>
    <row r="240" spans="1:7" x14ac:dyDescent="0.2">
      <c r="A240">
        <v>39203</v>
      </c>
      <c r="B240" t="s">
        <v>2938</v>
      </c>
      <c r="C240">
        <v>-4.9478907138109207E-2</v>
      </c>
      <c r="D240">
        <v>-9.8021559417247772E-2</v>
      </c>
      <c r="E240">
        <v>0.60526430606842041</v>
      </c>
      <c r="F240">
        <v>13.605796813964844</v>
      </c>
      <c r="G240">
        <v>810816</v>
      </c>
    </row>
    <row r="241" spans="1:7" x14ac:dyDescent="0.2">
      <c r="A241">
        <v>22400</v>
      </c>
      <c r="B241" t="s">
        <v>2937</v>
      </c>
      <c r="C241">
        <v>-5.3738046437501907E-2</v>
      </c>
      <c r="D241">
        <v>-0.10652556270360947</v>
      </c>
      <c r="E241">
        <v>0.52728527784347534</v>
      </c>
      <c r="F241">
        <v>13.604152679443359</v>
      </c>
      <c r="G241">
        <v>809484</v>
      </c>
    </row>
    <row r="242" spans="1:7" x14ac:dyDescent="0.2">
      <c r="A242">
        <v>33500</v>
      </c>
      <c r="B242" t="s">
        <v>2940</v>
      </c>
      <c r="C242">
        <v>-7.7867135405540466E-2</v>
      </c>
      <c r="D242">
        <v>-0.14226064085960388</v>
      </c>
      <c r="E242">
        <v>0.46628722548484802</v>
      </c>
      <c r="F242">
        <v>13.601953506469727</v>
      </c>
      <c r="G242">
        <v>807706</v>
      </c>
    </row>
    <row r="243" spans="1:7" x14ac:dyDescent="0.2">
      <c r="A243">
        <v>34802</v>
      </c>
      <c r="B243" t="s">
        <v>2941</v>
      </c>
      <c r="C243">
        <v>4.7087781131267548E-3</v>
      </c>
      <c r="D243">
        <v>-2.2388145327568054E-2</v>
      </c>
      <c r="E243">
        <v>0.6073070764541626</v>
      </c>
      <c r="F243">
        <v>13.593517303466797</v>
      </c>
      <c r="G243">
        <v>800921</v>
      </c>
    </row>
    <row r="244" spans="1:7" x14ac:dyDescent="0.2">
      <c r="A244">
        <v>25900</v>
      </c>
      <c r="B244" t="s">
        <v>2945</v>
      </c>
      <c r="C244">
        <v>-0.12801198661327362</v>
      </c>
      <c r="D244">
        <v>-0.21204440295696259</v>
      </c>
      <c r="E244">
        <v>0.48865845799446106</v>
      </c>
      <c r="F244">
        <v>13.572526931762695</v>
      </c>
      <c r="G244">
        <v>784284</v>
      </c>
    </row>
    <row r="245" spans="1:7" x14ac:dyDescent="0.2">
      <c r="A245">
        <v>36200</v>
      </c>
      <c r="B245" t="s">
        <v>2946</v>
      </c>
      <c r="C245">
        <v>-4.1382152587175369E-2</v>
      </c>
      <c r="D245">
        <v>-8.7479270994663239E-2</v>
      </c>
      <c r="E245">
        <v>0.59598416090011597</v>
      </c>
      <c r="F245">
        <v>13.572415351867676</v>
      </c>
      <c r="G245">
        <v>784197</v>
      </c>
    </row>
    <row r="246" spans="1:7" x14ac:dyDescent="0.2">
      <c r="A246">
        <v>8000</v>
      </c>
      <c r="B246" t="s">
        <v>2943</v>
      </c>
      <c r="C246">
        <v>-8.3435937762260437E-2</v>
      </c>
      <c r="D246">
        <v>-0.14978739619255066</v>
      </c>
      <c r="E246">
        <v>0.48839461803436279</v>
      </c>
      <c r="F246">
        <v>13.569619178771973</v>
      </c>
      <c r="G246">
        <v>782007</v>
      </c>
    </row>
    <row r="247" spans="1:7" x14ac:dyDescent="0.2">
      <c r="A247">
        <v>17300</v>
      </c>
      <c r="B247" t="s">
        <v>2947</v>
      </c>
      <c r="C247">
        <v>-6.7023202776908875E-2</v>
      </c>
      <c r="D247">
        <v>-0.12713433802127838</v>
      </c>
      <c r="E247">
        <v>0.48340436816215515</v>
      </c>
      <c r="F247">
        <v>13.560727119445801</v>
      </c>
      <c r="G247">
        <v>775084</v>
      </c>
    </row>
    <row r="248" spans="1:7" x14ac:dyDescent="0.2">
      <c r="A248">
        <v>15700</v>
      </c>
      <c r="B248" t="s">
        <v>2948</v>
      </c>
      <c r="C248">
        <v>-9.1228142380714417E-2</v>
      </c>
      <c r="D248">
        <v>-0.16158184409141541</v>
      </c>
      <c r="E248">
        <v>0.46749025583267212</v>
      </c>
      <c r="F248">
        <v>13.553766250610352</v>
      </c>
      <c r="G248">
        <v>769708</v>
      </c>
    </row>
    <row r="249" spans="1:7" x14ac:dyDescent="0.2">
      <c r="A249">
        <v>32501</v>
      </c>
      <c r="B249" t="s">
        <v>2944</v>
      </c>
      <c r="C249">
        <v>-8.4520891308784485E-2</v>
      </c>
      <c r="D249">
        <v>-0.15109570324420929</v>
      </c>
      <c r="E249">
        <v>0.502036452293396</v>
      </c>
      <c r="F249">
        <v>13.553153991699219</v>
      </c>
      <c r="G249">
        <v>769237</v>
      </c>
    </row>
    <row r="250" spans="1:7" x14ac:dyDescent="0.2">
      <c r="A250">
        <v>28001</v>
      </c>
      <c r="B250" t="s">
        <v>2949</v>
      </c>
      <c r="C250">
        <v>-6.2434528023004532E-2</v>
      </c>
      <c r="D250">
        <v>-0.11926703900098801</v>
      </c>
      <c r="E250">
        <v>0.53592437505722046</v>
      </c>
      <c r="F250">
        <v>13.543213844299316</v>
      </c>
      <c r="G250">
        <v>761628</v>
      </c>
    </row>
    <row r="251" spans="1:7" x14ac:dyDescent="0.2">
      <c r="A251">
        <v>36600</v>
      </c>
      <c r="B251" t="s">
        <v>2950</v>
      </c>
      <c r="C251">
        <v>-2.3257959634065628E-2</v>
      </c>
      <c r="D251">
        <v>-6.3707023859024048E-2</v>
      </c>
      <c r="E251">
        <v>0.56472766399383545</v>
      </c>
      <c r="F251">
        <v>13.533841133117676</v>
      </c>
      <c r="G251">
        <v>754523</v>
      </c>
    </row>
    <row r="252" spans="1:7" x14ac:dyDescent="0.2">
      <c r="A252">
        <v>9800</v>
      </c>
      <c r="B252" t="s">
        <v>2953</v>
      </c>
      <c r="C252">
        <v>-6.6327452659606934E-2</v>
      </c>
      <c r="D252">
        <v>-0.12182373553514481</v>
      </c>
      <c r="E252">
        <v>0.62924355268478394</v>
      </c>
      <c r="F252">
        <v>13.533371925354004</v>
      </c>
      <c r="G252">
        <v>754169</v>
      </c>
    </row>
    <row r="253" spans="1:7" x14ac:dyDescent="0.2">
      <c r="A253">
        <v>5401</v>
      </c>
      <c r="B253" t="s">
        <v>2951</v>
      </c>
      <c r="C253">
        <v>-9.8463460803031921E-2</v>
      </c>
      <c r="D253">
        <v>-0.1707676500082016</v>
      </c>
      <c r="E253">
        <v>0.50919121503829956</v>
      </c>
      <c r="F253">
        <v>13.523918151855469</v>
      </c>
      <c r="G253">
        <v>747073</v>
      </c>
    </row>
    <row r="254" spans="1:7" x14ac:dyDescent="0.2">
      <c r="A254">
        <v>13000</v>
      </c>
      <c r="B254" t="s">
        <v>2954</v>
      </c>
      <c r="C254">
        <v>-9.6289888024330139E-2</v>
      </c>
      <c r="D254">
        <v>-0.1685636043548584</v>
      </c>
      <c r="E254">
        <v>0.48491778969764709</v>
      </c>
      <c r="F254">
        <v>13.520584106445312</v>
      </c>
      <c r="G254">
        <v>744586</v>
      </c>
    </row>
    <row r="255" spans="1:7" x14ac:dyDescent="0.2">
      <c r="A255">
        <v>34001</v>
      </c>
      <c r="B255" t="s">
        <v>2955</v>
      </c>
      <c r="C255">
        <v>-0.13184978067874908</v>
      </c>
      <c r="D255">
        <v>-0.21832506358623505</v>
      </c>
      <c r="E255">
        <v>0.48372945189476013</v>
      </c>
      <c r="F255">
        <v>13.519277572631836</v>
      </c>
      <c r="G255">
        <v>743614</v>
      </c>
    </row>
    <row r="256" spans="1:7" x14ac:dyDescent="0.2">
      <c r="A256">
        <v>10000</v>
      </c>
      <c r="B256" t="s">
        <v>2952</v>
      </c>
      <c r="C256">
        <v>-7.8076228499412537E-2</v>
      </c>
      <c r="D256">
        <v>-0.14285954833030701</v>
      </c>
      <c r="E256">
        <v>0.49644738435745239</v>
      </c>
      <c r="F256">
        <v>13.51157283782959</v>
      </c>
      <c r="G256">
        <v>737907</v>
      </c>
    </row>
    <row r="257" spans="1:7" x14ac:dyDescent="0.2">
      <c r="A257">
        <v>28502</v>
      </c>
      <c r="B257" t="s">
        <v>2956</v>
      </c>
      <c r="C257">
        <v>-6.2261272221803665E-2</v>
      </c>
      <c r="D257">
        <v>-0.11874421685934067</v>
      </c>
      <c r="E257">
        <v>0.55895477533340454</v>
      </c>
      <c r="F257">
        <v>13.510431289672852</v>
      </c>
      <c r="G257">
        <v>737065</v>
      </c>
    </row>
    <row r="258" spans="1:7" x14ac:dyDescent="0.2">
      <c r="A258">
        <v>29203</v>
      </c>
      <c r="B258" t="s">
        <v>2958</v>
      </c>
      <c r="C258">
        <v>-0.10544566810131073</v>
      </c>
      <c r="D258">
        <v>-0.17709524929523468</v>
      </c>
      <c r="E258">
        <v>0.62386685609817505</v>
      </c>
      <c r="F258">
        <v>13.503871917724609</v>
      </c>
      <c r="G258">
        <v>732246</v>
      </c>
    </row>
    <row r="259" spans="1:7" x14ac:dyDescent="0.2">
      <c r="A259">
        <v>18700</v>
      </c>
      <c r="B259" t="s">
        <v>2959</v>
      </c>
      <c r="C259">
        <v>-7.2188183665275574E-2</v>
      </c>
      <c r="D259">
        <v>-0.13684853911399841</v>
      </c>
      <c r="E259">
        <v>0.43570426106452942</v>
      </c>
      <c r="F259">
        <v>13.493950843811035</v>
      </c>
      <c r="G259">
        <v>725017</v>
      </c>
    </row>
    <row r="260" spans="1:7" x14ac:dyDescent="0.2">
      <c r="A260">
        <v>28702</v>
      </c>
      <c r="B260" t="s">
        <v>2960</v>
      </c>
      <c r="C260">
        <v>-6.1564929783344269E-3</v>
      </c>
      <c r="D260">
        <v>-3.828638419508934E-2</v>
      </c>
      <c r="E260">
        <v>0.6294095516204834</v>
      </c>
      <c r="F260">
        <v>13.493047714233398</v>
      </c>
      <c r="G260">
        <v>724363</v>
      </c>
    </row>
    <row r="261" spans="1:7" x14ac:dyDescent="0.2">
      <c r="A261">
        <v>33902</v>
      </c>
      <c r="B261" t="s">
        <v>2957</v>
      </c>
      <c r="C261">
        <v>-4.9910221248865128E-2</v>
      </c>
      <c r="D261">
        <v>-0.10414793342351913</v>
      </c>
      <c r="E261">
        <v>0.48559093475341797</v>
      </c>
      <c r="F261">
        <v>13.490035057067871</v>
      </c>
      <c r="G261">
        <v>722184</v>
      </c>
    </row>
    <row r="262" spans="1:7" x14ac:dyDescent="0.2">
      <c r="A262">
        <v>34308</v>
      </c>
      <c r="B262" t="s">
        <v>2963</v>
      </c>
      <c r="C262">
        <v>-6.9021448493003845E-2</v>
      </c>
      <c r="D262">
        <v>-0.12840017676353455</v>
      </c>
      <c r="E262">
        <v>0.5618855357170105</v>
      </c>
      <c r="F262">
        <v>13.489190101623535</v>
      </c>
      <c r="G262">
        <v>721574</v>
      </c>
    </row>
    <row r="263" spans="1:7" x14ac:dyDescent="0.2">
      <c r="A263">
        <v>33200</v>
      </c>
      <c r="B263" t="s">
        <v>2962</v>
      </c>
      <c r="C263">
        <v>-3.896239772439003E-2</v>
      </c>
      <c r="D263">
        <v>-8.9009217917919159E-2</v>
      </c>
      <c r="E263">
        <v>0.48207545280456543</v>
      </c>
      <c r="F263">
        <v>13.486527442932129</v>
      </c>
      <c r="G263">
        <v>719655</v>
      </c>
    </row>
    <row r="264" spans="1:7" x14ac:dyDescent="0.2">
      <c r="A264">
        <v>5000</v>
      </c>
      <c r="B264" t="s">
        <v>2961</v>
      </c>
      <c r="C264">
        <v>-9.920676052570343E-2</v>
      </c>
      <c r="D264">
        <v>-0.17133709788322449</v>
      </c>
      <c r="E264">
        <v>0.54046332836151123</v>
      </c>
      <c r="F264">
        <v>13.485629081726074</v>
      </c>
      <c r="G264">
        <v>719009</v>
      </c>
    </row>
    <row r="265" spans="1:7" x14ac:dyDescent="0.2">
      <c r="A265">
        <v>15400</v>
      </c>
      <c r="B265" t="s">
        <v>2964</v>
      </c>
      <c r="C265">
        <v>-0.10576038062572479</v>
      </c>
      <c r="D265">
        <v>-0.18421147763729095</v>
      </c>
      <c r="E265">
        <v>0.42710736393928528</v>
      </c>
      <c r="F265">
        <v>13.48281192779541</v>
      </c>
      <c r="G265">
        <v>716986</v>
      </c>
    </row>
    <row r="266" spans="1:7" x14ac:dyDescent="0.2">
      <c r="A266">
        <v>21301</v>
      </c>
      <c r="B266" t="s">
        <v>2968</v>
      </c>
      <c r="C266">
        <v>-6.2812387943267822E-2</v>
      </c>
      <c r="D266">
        <v>-0.11752038449048996</v>
      </c>
      <c r="E266">
        <v>0.63448798656463623</v>
      </c>
      <c r="F266">
        <v>13.478483200073242</v>
      </c>
      <c r="G266">
        <v>713889</v>
      </c>
    </row>
    <row r="267" spans="1:7" x14ac:dyDescent="0.2">
      <c r="A267">
        <v>4901</v>
      </c>
      <c r="B267" t="s">
        <v>2966</v>
      </c>
      <c r="C267">
        <v>-8.9267775416374207E-2</v>
      </c>
      <c r="D267">
        <v>-0.15971915423870087</v>
      </c>
      <c r="E267">
        <v>0.47758841514587402</v>
      </c>
      <c r="F267">
        <v>13.468975067138672</v>
      </c>
      <c r="G267">
        <v>707134</v>
      </c>
    </row>
    <row r="268" spans="1:7" x14ac:dyDescent="0.2">
      <c r="A268">
        <v>35300</v>
      </c>
      <c r="B268" t="s">
        <v>2967</v>
      </c>
      <c r="C268">
        <v>-4.8081625252962112E-2</v>
      </c>
      <c r="D268">
        <v>-0.10009291023015976</v>
      </c>
      <c r="E268">
        <v>0.54177200794219971</v>
      </c>
      <c r="F268">
        <v>13.467386245727539</v>
      </c>
      <c r="G268">
        <v>706011</v>
      </c>
    </row>
    <row r="269" spans="1:7" x14ac:dyDescent="0.2">
      <c r="A269">
        <v>13900</v>
      </c>
      <c r="B269" t="s">
        <v>2971</v>
      </c>
      <c r="C269">
        <v>-8.3348259329795837E-2</v>
      </c>
      <c r="D269">
        <v>-0.15155488252639771</v>
      </c>
      <c r="E269">
        <v>0.47813338041305542</v>
      </c>
      <c r="F269">
        <v>13.460001945495605</v>
      </c>
      <c r="G269">
        <v>700817</v>
      </c>
    </row>
    <row r="270" spans="1:7" x14ac:dyDescent="0.2">
      <c r="A270">
        <v>33601</v>
      </c>
      <c r="B270" t="s">
        <v>2970</v>
      </c>
      <c r="C270">
        <v>-0.10501916706562042</v>
      </c>
      <c r="D270">
        <v>-0.18257600069046021</v>
      </c>
      <c r="E270">
        <v>0.45791918039321899</v>
      </c>
      <c r="F270">
        <v>13.454716682434082</v>
      </c>
      <c r="G270">
        <v>697123</v>
      </c>
    </row>
    <row r="271" spans="1:7" x14ac:dyDescent="0.2">
      <c r="A271">
        <v>26201</v>
      </c>
      <c r="B271" t="s">
        <v>2965</v>
      </c>
      <c r="C271">
        <v>8.1472210586071014E-3</v>
      </c>
      <c r="D271">
        <v>-1.9839290529489517E-2</v>
      </c>
      <c r="E271">
        <v>0.60003745555877686</v>
      </c>
      <c r="F271">
        <v>13.451228141784668</v>
      </c>
      <c r="G271">
        <v>694695</v>
      </c>
    </row>
    <row r="272" spans="1:7" x14ac:dyDescent="0.2">
      <c r="A272">
        <v>15300</v>
      </c>
      <c r="B272" t="s">
        <v>2969</v>
      </c>
      <c r="C272">
        <v>-0.10979263484477997</v>
      </c>
      <c r="D272">
        <v>-0.18875962495803833</v>
      </c>
      <c r="E272">
        <v>0.47714436054229736</v>
      </c>
      <c r="F272">
        <v>13.445246696472168</v>
      </c>
      <c r="G272">
        <v>690552</v>
      </c>
    </row>
    <row r="273" spans="1:7" x14ac:dyDescent="0.2">
      <c r="A273">
        <v>15600</v>
      </c>
      <c r="B273" t="s">
        <v>2976</v>
      </c>
      <c r="C273">
        <v>-0.11573587357997894</v>
      </c>
      <c r="D273">
        <v>-0.19693335890769958</v>
      </c>
      <c r="E273">
        <v>0.48634335398674011</v>
      </c>
      <c r="F273">
        <v>13.433661460876465</v>
      </c>
      <c r="G273">
        <v>682598</v>
      </c>
    </row>
    <row r="274" spans="1:7" x14ac:dyDescent="0.2">
      <c r="A274">
        <v>18201</v>
      </c>
      <c r="B274" t="s">
        <v>2974</v>
      </c>
      <c r="C274">
        <v>-9.9764183163642883E-2</v>
      </c>
      <c r="D274">
        <v>-0.17474956810474396</v>
      </c>
      <c r="E274">
        <v>0.4871361255645752</v>
      </c>
      <c r="F274">
        <v>13.42193603515625</v>
      </c>
      <c r="G274">
        <v>674641</v>
      </c>
    </row>
    <row r="275" spans="1:7" x14ac:dyDescent="0.2">
      <c r="A275">
        <v>35500</v>
      </c>
      <c r="B275" t="s">
        <v>2972</v>
      </c>
      <c r="C275">
        <v>-9.1097727417945862E-2</v>
      </c>
      <c r="D275">
        <v>-0.16210110485553741</v>
      </c>
      <c r="E275">
        <v>0.50489664077758789</v>
      </c>
      <c r="F275">
        <v>13.419060707092285</v>
      </c>
      <c r="G275">
        <v>672704</v>
      </c>
    </row>
    <row r="276" spans="1:7" x14ac:dyDescent="0.2">
      <c r="A276">
        <v>25701</v>
      </c>
      <c r="B276" t="s">
        <v>2982</v>
      </c>
      <c r="C276">
        <v>-0.13362057507038116</v>
      </c>
      <c r="D276">
        <v>-0.22363342344760895</v>
      </c>
      <c r="E276">
        <v>0.44605961441993713</v>
      </c>
      <c r="F276">
        <v>13.405802726745605</v>
      </c>
      <c r="G276">
        <v>663844</v>
      </c>
    </row>
    <row r="277" spans="1:7" x14ac:dyDescent="0.2">
      <c r="A277">
        <v>14300</v>
      </c>
      <c r="B277" t="s">
        <v>2975</v>
      </c>
      <c r="C277">
        <v>-5.4320801049470901E-2</v>
      </c>
      <c r="D277">
        <v>-0.11138895153999329</v>
      </c>
      <c r="E277">
        <v>0.48969572782516479</v>
      </c>
      <c r="F277">
        <v>13.404935836791992</v>
      </c>
      <c r="G277">
        <v>663269</v>
      </c>
    </row>
    <row r="278" spans="1:7" x14ac:dyDescent="0.2">
      <c r="A278">
        <v>13200</v>
      </c>
      <c r="B278" t="s">
        <v>2973</v>
      </c>
      <c r="C278">
        <v>-8.5249260067939758E-2</v>
      </c>
      <c r="D278">
        <v>-0.15471759438514709</v>
      </c>
      <c r="E278">
        <v>0.48778256773948669</v>
      </c>
      <c r="F278">
        <v>13.402410507202148</v>
      </c>
      <c r="G278">
        <v>661596</v>
      </c>
    </row>
    <row r="279" spans="1:7" x14ac:dyDescent="0.2">
      <c r="A279">
        <v>34504</v>
      </c>
      <c r="B279" t="s">
        <v>2983</v>
      </c>
      <c r="C279">
        <v>-0.12769775092601776</v>
      </c>
      <c r="D279">
        <v>-0.20909716188907623</v>
      </c>
      <c r="E279">
        <v>0.64129948616027832</v>
      </c>
      <c r="F279">
        <v>13.400851249694824</v>
      </c>
      <c r="G279">
        <v>660565</v>
      </c>
    </row>
    <row r="280" spans="1:7" x14ac:dyDescent="0.2">
      <c r="A280">
        <v>32201</v>
      </c>
      <c r="B280" t="s">
        <v>2977</v>
      </c>
      <c r="C280">
        <v>-7.8163400292396545E-2</v>
      </c>
      <c r="D280">
        <v>-0.14526368677616119</v>
      </c>
      <c r="E280">
        <v>0.47470679879188538</v>
      </c>
      <c r="F280">
        <v>13.400532722473145</v>
      </c>
      <c r="G280">
        <v>660355</v>
      </c>
    </row>
    <row r="281" spans="1:7" x14ac:dyDescent="0.2">
      <c r="A281">
        <v>19902</v>
      </c>
      <c r="B281" t="s">
        <v>2978</v>
      </c>
      <c r="C281">
        <v>3.5946201533079147E-2</v>
      </c>
      <c r="D281">
        <v>1.5142736956477165E-2</v>
      </c>
      <c r="E281">
        <v>0.50433331727981567</v>
      </c>
      <c r="F281">
        <v>13.396853446960449</v>
      </c>
      <c r="G281">
        <v>657930</v>
      </c>
    </row>
    <row r="282" spans="1:7" x14ac:dyDescent="0.2">
      <c r="A282">
        <v>29503</v>
      </c>
      <c r="B282" t="s">
        <v>2984</v>
      </c>
      <c r="C282">
        <v>-9.2941150069236755E-2</v>
      </c>
      <c r="D282">
        <v>-0.16554242372512817</v>
      </c>
      <c r="E282">
        <v>0.48797532916069031</v>
      </c>
      <c r="F282">
        <v>13.396804809570312</v>
      </c>
      <c r="G282">
        <v>657898</v>
      </c>
    </row>
    <row r="283" spans="1:7" x14ac:dyDescent="0.2">
      <c r="A283">
        <v>35600</v>
      </c>
      <c r="B283" t="s">
        <v>2981</v>
      </c>
      <c r="C283">
        <v>-2.3504828568547964E-3</v>
      </c>
      <c r="D283">
        <v>-3.6348134279251099E-2</v>
      </c>
      <c r="E283">
        <v>0.56876379251480103</v>
      </c>
      <c r="F283">
        <v>13.39338207244873</v>
      </c>
      <c r="G283">
        <v>655650</v>
      </c>
    </row>
    <row r="284" spans="1:7" x14ac:dyDescent="0.2">
      <c r="A284">
        <v>2900</v>
      </c>
      <c r="B284" t="s">
        <v>2986</v>
      </c>
      <c r="C284">
        <v>-0.11655782163143158</v>
      </c>
      <c r="D284">
        <v>-0.1951373964548111</v>
      </c>
      <c r="E284">
        <v>0.59655684232711792</v>
      </c>
      <c r="F284">
        <v>13.38951301574707</v>
      </c>
      <c r="G284">
        <v>653118</v>
      </c>
    </row>
    <row r="285" spans="1:7" x14ac:dyDescent="0.2">
      <c r="A285">
        <v>31101</v>
      </c>
      <c r="B285" t="s">
        <v>2987</v>
      </c>
      <c r="C285">
        <v>-5.3098537027835846E-3</v>
      </c>
      <c r="D285">
        <v>-4.4334571808576584E-2</v>
      </c>
      <c r="E285">
        <v>0.45180448889732361</v>
      </c>
      <c r="F285">
        <v>13.389216423034668</v>
      </c>
      <c r="G285">
        <v>652924</v>
      </c>
    </row>
    <row r="286" spans="1:7" x14ac:dyDescent="0.2">
      <c r="A286">
        <v>35901</v>
      </c>
      <c r="B286" t="s">
        <v>2979</v>
      </c>
      <c r="C286">
        <v>-8.0553516745567322E-2</v>
      </c>
      <c r="D286">
        <v>-0.14609755575656891</v>
      </c>
      <c r="E286">
        <v>0.55905216932296753</v>
      </c>
      <c r="F286">
        <v>13.384573936462402</v>
      </c>
      <c r="G286">
        <v>649900</v>
      </c>
    </row>
    <row r="287" spans="1:7" x14ac:dyDescent="0.2">
      <c r="A287">
        <v>5500</v>
      </c>
      <c r="B287" t="s">
        <v>2980</v>
      </c>
      <c r="C287">
        <v>-9.7400858998298645E-2</v>
      </c>
      <c r="D287">
        <v>-0.17391221225261688</v>
      </c>
      <c r="E287">
        <v>0.42841500043869019</v>
      </c>
      <c r="F287">
        <v>13.382323265075684</v>
      </c>
      <c r="G287">
        <v>648439</v>
      </c>
    </row>
    <row r="288" spans="1:7" x14ac:dyDescent="0.2">
      <c r="A288">
        <v>3600</v>
      </c>
      <c r="B288" t="s">
        <v>2985</v>
      </c>
      <c r="C288">
        <v>-7.3625773191452026E-2</v>
      </c>
      <c r="D288">
        <v>-0.14010556042194366</v>
      </c>
      <c r="E288">
        <v>0.44616797566413879</v>
      </c>
      <c r="F288">
        <v>13.382272720336914</v>
      </c>
      <c r="G288">
        <v>648406</v>
      </c>
    </row>
    <row r="289" spans="1:7" x14ac:dyDescent="0.2">
      <c r="A289">
        <v>34703</v>
      </c>
      <c r="B289" t="s">
        <v>2992</v>
      </c>
      <c r="C289">
        <v>4.0107857435941696E-2</v>
      </c>
      <c r="D289">
        <v>2.2508449852466583E-2</v>
      </c>
      <c r="E289">
        <v>0.56292420625686646</v>
      </c>
      <c r="F289">
        <v>13.372199058532715</v>
      </c>
      <c r="G289">
        <v>641907</v>
      </c>
    </row>
    <row r="290" spans="1:7" x14ac:dyDescent="0.2">
      <c r="A290">
        <v>18400</v>
      </c>
      <c r="B290" t="s">
        <v>2989</v>
      </c>
      <c r="C290">
        <v>-5.1145914942026138E-2</v>
      </c>
      <c r="D290">
        <v>-0.10621644556522369</v>
      </c>
      <c r="E290">
        <v>0.52951443195343018</v>
      </c>
      <c r="F290">
        <v>13.365818023681641</v>
      </c>
      <c r="G290">
        <v>637824</v>
      </c>
    </row>
    <row r="291" spans="1:7" x14ac:dyDescent="0.2">
      <c r="A291">
        <v>23200</v>
      </c>
      <c r="B291" t="s">
        <v>2990</v>
      </c>
      <c r="C291">
        <v>-7.2012543678283691E-2</v>
      </c>
      <c r="D291">
        <v>-0.13488723337650299</v>
      </c>
      <c r="E291">
        <v>0.54545426368713379</v>
      </c>
      <c r="F291">
        <v>13.364356994628906</v>
      </c>
      <c r="G291">
        <v>636893</v>
      </c>
    </row>
    <row r="292" spans="1:7" x14ac:dyDescent="0.2">
      <c r="A292">
        <v>12301</v>
      </c>
      <c r="B292" t="s">
        <v>2991</v>
      </c>
      <c r="C292">
        <v>-0.10342095792293549</v>
      </c>
      <c r="D292">
        <v>-0.17834685742855072</v>
      </c>
      <c r="E292">
        <v>0.56138193607330322</v>
      </c>
      <c r="F292">
        <v>13.359131813049316</v>
      </c>
      <c r="G292">
        <v>633574</v>
      </c>
    </row>
    <row r="293" spans="1:7" x14ac:dyDescent="0.2">
      <c r="A293">
        <v>20902</v>
      </c>
      <c r="B293" t="s">
        <v>2988</v>
      </c>
      <c r="C293">
        <v>-2.8073567897081375E-2</v>
      </c>
      <c r="D293">
        <v>-7.2306841611862183E-2</v>
      </c>
      <c r="E293">
        <v>0.58574914932250977</v>
      </c>
      <c r="F293">
        <v>13.354363441467285</v>
      </c>
      <c r="G293">
        <v>630560</v>
      </c>
    </row>
    <row r="294" spans="1:7" x14ac:dyDescent="0.2">
      <c r="A294">
        <v>1002</v>
      </c>
      <c r="B294" t="s">
        <v>2993</v>
      </c>
      <c r="C294">
        <v>-0.13494299352169037</v>
      </c>
      <c r="D294">
        <v>-0.22486431896686554</v>
      </c>
      <c r="E294">
        <v>0.49488359689712524</v>
      </c>
      <c r="F294">
        <v>13.337892532348633</v>
      </c>
      <c r="G294">
        <v>620259</v>
      </c>
    </row>
    <row r="295" spans="1:7" x14ac:dyDescent="0.2">
      <c r="A295">
        <v>17501</v>
      </c>
      <c r="B295" t="s">
        <v>2994</v>
      </c>
      <c r="C295">
        <v>-7.7896103262901306E-2</v>
      </c>
      <c r="D295">
        <v>-0.14589853584766388</v>
      </c>
      <c r="E295">
        <v>0.47433224320411682</v>
      </c>
      <c r="F295">
        <v>13.330410957336426</v>
      </c>
      <c r="G295">
        <v>615636</v>
      </c>
    </row>
    <row r="296" spans="1:7" x14ac:dyDescent="0.2">
      <c r="A296">
        <v>34402</v>
      </c>
      <c r="B296" t="s">
        <v>2996</v>
      </c>
      <c r="C296">
        <v>-8.887346088886261E-2</v>
      </c>
      <c r="D296">
        <v>-0.15446653962135315</v>
      </c>
      <c r="E296">
        <v>0.68758076429367065</v>
      </c>
      <c r="F296">
        <v>13.320853233337402</v>
      </c>
      <c r="G296">
        <v>609780</v>
      </c>
    </row>
    <row r="297" spans="1:7" x14ac:dyDescent="0.2">
      <c r="A297">
        <v>10200</v>
      </c>
      <c r="B297" t="s">
        <v>2998</v>
      </c>
      <c r="C297">
        <v>-6.2180448323488235E-2</v>
      </c>
      <c r="D297">
        <v>-0.12350509315729141</v>
      </c>
      <c r="E297">
        <v>0.49553722143173218</v>
      </c>
      <c r="F297">
        <v>13.312066078186035</v>
      </c>
      <c r="G297">
        <v>604445</v>
      </c>
    </row>
    <row r="298" spans="1:7" x14ac:dyDescent="0.2">
      <c r="A298">
        <v>8701</v>
      </c>
      <c r="B298" t="s">
        <v>2997</v>
      </c>
      <c r="C298">
        <v>-6.771734356880188E-2</v>
      </c>
      <c r="D298">
        <v>-0.13064439594745636</v>
      </c>
      <c r="E298">
        <v>0.51446413993835449</v>
      </c>
      <c r="F298">
        <v>13.311119079589844</v>
      </c>
      <c r="G298">
        <v>603873</v>
      </c>
    </row>
    <row r="299" spans="1:7" x14ac:dyDescent="0.2">
      <c r="A299">
        <v>17800</v>
      </c>
      <c r="B299" t="s">
        <v>2999</v>
      </c>
      <c r="C299">
        <v>-6.9724276661872864E-2</v>
      </c>
      <c r="D299">
        <v>-0.1331750899553299</v>
      </c>
      <c r="E299">
        <v>0.53170675039291382</v>
      </c>
      <c r="F299">
        <v>13.291108131408691</v>
      </c>
      <c r="G299">
        <v>591909</v>
      </c>
    </row>
    <row r="300" spans="1:7" x14ac:dyDescent="0.2">
      <c r="A300">
        <v>21600</v>
      </c>
      <c r="B300" t="s">
        <v>3004</v>
      </c>
      <c r="C300">
        <v>-6.0045439749956131E-2</v>
      </c>
      <c r="D300">
        <v>-0.11906363070011139</v>
      </c>
      <c r="E300">
        <v>0.5537218451499939</v>
      </c>
      <c r="F300">
        <v>13.281900405883789</v>
      </c>
      <c r="G300">
        <v>586484</v>
      </c>
    </row>
    <row r="301" spans="1:7" x14ac:dyDescent="0.2">
      <c r="A301">
        <v>22300</v>
      </c>
      <c r="B301" t="s">
        <v>2995</v>
      </c>
      <c r="C301">
        <v>-8.4735468029975891E-2</v>
      </c>
      <c r="D301">
        <v>-0.15431000292301178</v>
      </c>
      <c r="E301">
        <v>0.53151392936706543</v>
      </c>
      <c r="F301">
        <v>13.280795097351074</v>
      </c>
      <c r="G301">
        <v>585836</v>
      </c>
    </row>
    <row r="302" spans="1:7" x14ac:dyDescent="0.2">
      <c r="A302">
        <v>32601</v>
      </c>
      <c r="B302" t="s">
        <v>3003</v>
      </c>
      <c r="C302">
        <v>-7.6378792524337769E-2</v>
      </c>
      <c r="D302">
        <v>-0.14320789277553558</v>
      </c>
      <c r="E302">
        <v>0.51462221145629883</v>
      </c>
      <c r="F302">
        <v>13.278606414794922</v>
      </c>
      <c r="G302">
        <v>584555</v>
      </c>
    </row>
    <row r="303" spans="1:7" x14ac:dyDescent="0.2">
      <c r="A303">
        <v>9200</v>
      </c>
      <c r="B303" t="s">
        <v>3001</v>
      </c>
      <c r="C303">
        <v>-2.0127270370721817E-2</v>
      </c>
      <c r="D303">
        <v>-6.4827181398868561E-2</v>
      </c>
      <c r="E303">
        <v>0.50813412666320801</v>
      </c>
      <c r="F303">
        <v>13.276110649108887</v>
      </c>
      <c r="G303">
        <v>583098</v>
      </c>
    </row>
    <row r="304" spans="1:7" x14ac:dyDescent="0.2">
      <c r="A304">
        <v>11201</v>
      </c>
      <c r="B304" t="s">
        <v>3000</v>
      </c>
      <c r="C304">
        <v>-0.13390921056270599</v>
      </c>
      <c r="D304">
        <v>-0.22533361613750458</v>
      </c>
      <c r="E304">
        <v>0.46631166338920593</v>
      </c>
      <c r="F304">
        <v>13.268337249755859</v>
      </c>
      <c r="G304">
        <v>578583</v>
      </c>
    </row>
    <row r="305" spans="1:7" x14ac:dyDescent="0.2">
      <c r="A305">
        <v>2200</v>
      </c>
      <c r="B305" t="s">
        <v>3002</v>
      </c>
      <c r="C305">
        <v>-7.6102912425994873E-2</v>
      </c>
      <c r="D305">
        <v>-0.14425571262836456</v>
      </c>
      <c r="E305">
        <v>0.47902923822402954</v>
      </c>
      <c r="F305">
        <v>13.2589111328125</v>
      </c>
      <c r="G305">
        <v>573155</v>
      </c>
    </row>
    <row r="306" spans="1:7" x14ac:dyDescent="0.2">
      <c r="A306">
        <v>16801</v>
      </c>
      <c r="B306" t="s">
        <v>3005</v>
      </c>
      <c r="C306">
        <v>-0.13980098068714142</v>
      </c>
      <c r="D306">
        <v>-0.23410680890083313</v>
      </c>
      <c r="E306">
        <v>0.45449095964431763</v>
      </c>
      <c r="F306">
        <v>13.257444381713867</v>
      </c>
      <c r="G306">
        <v>572315</v>
      </c>
    </row>
    <row r="307" spans="1:7" x14ac:dyDescent="0.2">
      <c r="A307">
        <v>10600</v>
      </c>
      <c r="B307" t="s">
        <v>2761</v>
      </c>
      <c r="C307">
        <v>-6.7655310034751892E-2</v>
      </c>
      <c r="D307">
        <v>-0.13287290930747986</v>
      </c>
      <c r="E307">
        <v>0.47257891297340393</v>
      </c>
      <c r="F307">
        <v>13.243715286254883</v>
      </c>
      <c r="G307">
        <v>564511</v>
      </c>
    </row>
    <row r="308" spans="1:7" x14ac:dyDescent="0.2">
      <c r="A308">
        <v>12800</v>
      </c>
      <c r="B308" t="s">
        <v>3006</v>
      </c>
      <c r="C308">
        <v>-6.1938170343637466E-2</v>
      </c>
      <c r="D308">
        <v>-0.1263272613286972</v>
      </c>
      <c r="E308">
        <v>0.43164750933647156</v>
      </c>
      <c r="F308">
        <v>13.235342025756836</v>
      </c>
      <c r="G308">
        <v>559804</v>
      </c>
    </row>
    <row r="309" spans="1:7" x14ac:dyDescent="0.2">
      <c r="A309">
        <v>29800</v>
      </c>
      <c r="B309" t="s">
        <v>3010</v>
      </c>
      <c r="C309">
        <v>-0.15277622640132904</v>
      </c>
      <c r="D309">
        <v>-0.25413918495178223</v>
      </c>
      <c r="E309">
        <v>0.4123455286026001</v>
      </c>
      <c r="F309">
        <v>13.220139503479004</v>
      </c>
      <c r="G309">
        <v>551358</v>
      </c>
    </row>
    <row r="310" spans="1:7" x14ac:dyDescent="0.2">
      <c r="A310">
        <v>35701</v>
      </c>
      <c r="B310" t="s">
        <v>3015</v>
      </c>
      <c r="C310">
        <v>-9.1920152306556702E-2</v>
      </c>
      <c r="D310">
        <v>-0.16733585298061371</v>
      </c>
      <c r="E310">
        <v>0.46701553463935852</v>
      </c>
      <c r="F310">
        <v>13.217951774597168</v>
      </c>
      <c r="G310">
        <v>550153</v>
      </c>
    </row>
    <row r="311" spans="1:7" x14ac:dyDescent="0.2">
      <c r="A311">
        <v>24600</v>
      </c>
      <c r="B311" t="s">
        <v>3008</v>
      </c>
      <c r="C311">
        <v>-0.12512968480587006</v>
      </c>
      <c r="D311">
        <v>-0.21353548765182495</v>
      </c>
      <c r="E311">
        <v>0.47475671768188477</v>
      </c>
      <c r="F311">
        <v>13.215741157531738</v>
      </c>
      <c r="G311">
        <v>548938</v>
      </c>
    </row>
    <row r="312" spans="1:7" x14ac:dyDescent="0.2">
      <c r="A312">
        <v>36902</v>
      </c>
      <c r="B312" t="s">
        <v>3009</v>
      </c>
      <c r="C312">
        <v>-9.4566985964775085E-2</v>
      </c>
      <c r="D312">
        <v>-0.1708703339099884</v>
      </c>
      <c r="E312">
        <v>0.47516277432441711</v>
      </c>
      <c r="F312">
        <v>13.210990905761719</v>
      </c>
      <c r="G312">
        <v>546337</v>
      </c>
    </row>
    <row r="313" spans="1:7" x14ac:dyDescent="0.2">
      <c r="A313">
        <v>25000</v>
      </c>
      <c r="B313" t="s">
        <v>3007</v>
      </c>
      <c r="C313">
        <v>-0.10882936418056488</v>
      </c>
      <c r="D313">
        <v>-0.19065479934215546</v>
      </c>
      <c r="E313">
        <v>0.4816068708896637</v>
      </c>
      <c r="F313">
        <v>13.206917762756348</v>
      </c>
      <c r="G313">
        <v>544116</v>
      </c>
    </row>
    <row r="314" spans="1:7" x14ac:dyDescent="0.2">
      <c r="A314">
        <v>17502</v>
      </c>
      <c r="B314" t="s">
        <v>3016</v>
      </c>
      <c r="C314">
        <v>1.9402589648962021E-2</v>
      </c>
      <c r="D314">
        <v>-1.1704637669026852E-2</v>
      </c>
      <c r="E314">
        <v>0.47546243667602539</v>
      </c>
      <c r="F314">
        <v>13.200660705566406</v>
      </c>
      <c r="G314">
        <v>540722</v>
      </c>
    </row>
    <row r="315" spans="1:7" x14ac:dyDescent="0.2">
      <c r="A315">
        <v>25200</v>
      </c>
      <c r="B315" t="s">
        <v>3018</v>
      </c>
      <c r="C315">
        <v>-0.10719288885593414</v>
      </c>
      <c r="D315">
        <v>-0.18994326889514923</v>
      </c>
      <c r="E315">
        <v>0.44092202186584473</v>
      </c>
      <c r="F315">
        <v>13.188812255859375</v>
      </c>
      <c r="G315">
        <v>534353</v>
      </c>
    </row>
    <row r="316" spans="1:7" x14ac:dyDescent="0.2">
      <c r="A316">
        <v>36700</v>
      </c>
      <c r="B316" t="s">
        <v>3017</v>
      </c>
      <c r="C316">
        <v>-5.8808911591768265E-2</v>
      </c>
      <c r="D316">
        <v>-0.11743750423192978</v>
      </c>
      <c r="E316">
        <v>0.59144365787506104</v>
      </c>
      <c r="F316">
        <v>13.188654899597168</v>
      </c>
      <c r="G316">
        <v>534269</v>
      </c>
    </row>
    <row r="317" spans="1:7" x14ac:dyDescent="0.2">
      <c r="A317">
        <v>11800</v>
      </c>
      <c r="B317" t="s">
        <v>3014</v>
      </c>
      <c r="C317">
        <v>-0.1409560889005661</v>
      </c>
      <c r="D317">
        <v>-0.23274995386600494</v>
      </c>
      <c r="E317">
        <v>0.57758492231369019</v>
      </c>
      <c r="F317">
        <v>13.185787200927734</v>
      </c>
      <c r="G317">
        <v>532739</v>
      </c>
    </row>
    <row r="318" spans="1:7" x14ac:dyDescent="0.2">
      <c r="A318">
        <v>24200</v>
      </c>
      <c r="B318" t="s">
        <v>3013</v>
      </c>
      <c r="C318">
        <v>-3.9906688034534454E-3</v>
      </c>
      <c r="D318">
        <v>-4.3333854526281357E-2</v>
      </c>
      <c r="E318">
        <v>0.51660275459289551</v>
      </c>
      <c r="F318">
        <v>13.18205738067627</v>
      </c>
      <c r="G318">
        <v>530756</v>
      </c>
    </row>
    <row r="319" spans="1:7" x14ac:dyDescent="0.2">
      <c r="A319">
        <v>5700</v>
      </c>
      <c r="B319" t="s">
        <v>3021</v>
      </c>
      <c r="C319">
        <v>-8.7465777993202209E-2</v>
      </c>
      <c r="D319">
        <v>-0.16235750913619995</v>
      </c>
      <c r="E319">
        <v>0.44532081484794617</v>
      </c>
      <c r="F319">
        <v>13.179615020751953</v>
      </c>
      <c r="G319">
        <v>529461</v>
      </c>
    </row>
    <row r="320" spans="1:7" x14ac:dyDescent="0.2">
      <c r="A320">
        <v>10400</v>
      </c>
      <c r="B320" t="s">
        <v>3020</v>
      </c>
      <c r="C320">
        <v>-0.10364983975887299</v>
      </c>
      <c r="D320">
        <v>-0.18254505097866058</v>
      </c>
      <c r="E320">
        <v>0.52549159526824951</v>
      </c>
      <c r="F320">
        <v>13.168042182922363</v>
      </c>
      <c r="G320">
        <v>523369</v>
      </c>
    </row>
    <row r="321" spans="1:7" x14ac:dyDescent="0.2">
      <c r="A321">
        <v>15800</v>
      </c>
      <c r="B321" t="s">
        <v>3026</v>
      </c>
      <c r="C321">
        <v>-0.12373082339763641</v>
      </c>
      <c r="D321">
        <v>-0.21089102327823639</v>
      </c>
      <c r="E321">
        <v>0.51833641529083252</v>
      </c>
      <c r="F321">
        <v>13.164836883544922</v>
      </c>
      <c r="G321">
        <v>521694</v>
      </c>
    </row>
    <row r="322" spans="1:7" x14ac:dyDescent="0.2">
      <c r="A322">
        <v>23700</v>
      </c>
      <c r="B322" t="s">
        <v>3025</v>
      </c>
      <c r="C322">
        <v>-8.9422807097434998E-2</v>
      </c>
      <c r="D322">
        <v>-0.16234481334686279</v>
      </c>
      <c r="E322">
        <v>0.53723132610321045</v>
      </c>
      <c r="F322">
        <v>13.163374900817871</v>
      </c>
      <c r="G322">
        <v>520932</v>
      </c>
    </row>
    <row r="323" spans="1:7" x14ac:dyDescent="0.2">
      <c r="A323">
        <v>17000</v>
      </c>
      <c r="B323" t="s">
        <v>3019</v>
      </c>
      <c r="C323">
        <v>-0.11570213735103607</v>
      </c>
      <c r="D323">
        <v>-0.20156525075435638</v>
      </c>
      <c r="E323">
        <v>0.46051958203315735</v>
      </c>
      <c r="F323">
        <v>13.163248062133789</v>
      </c>
      <c r="G323">
        <v>520866</v>
      </c>
    </row>
    <row r="324" spans="1:7" x14ac:dyDescent="0.2">
      <c r="A324">
        <v>7700</v>
      </c>
      <c r="B324" t="s">
        <v>3012</v>
      </c>
      <c r="C324">
        <v>-9.7342297434806824E-2</v>
      </c>
      <c r="D324">
        <v>-0.17751744389533997</v>
      </c>
      <c r="E324">
        <v>0.4118286669254303</v>
      </c>
      <c r="F324">
        <v>13.16065502166748</v>
      </c>
      <c r="G324">
        <v>519517</v>
      </c>
    </row>
    <row r="325" spans="1:7" x14ac:dyDescent="0.2">
      <c r="A325">
        <v>25500</v>
      </c>
      <c r="B325" t="s">
        <v>3011</v>
      </c>
      <c r="C325">
        <v>-5.2373293787240982E-2</v>
      </c>
      <c r="D325">
        <v>-0.10989939421415329</v>
      </c>
      <c r="E325">
        <v>0.56243330240249634</v>
      </c>
      <c r="F325">
        <v>13.152259826660156</v>
      </c>
      <c r="G325">
        <v>515174</v>
      </c>
    </row>
    <row r="326" spans="1:7" x14ac:dyDescent="0.2">
      <c r="A326">
        <v>30000</v>
      </c>
      <c r="B326" t="s">
        <v>3023</v>
      </c>
      <c r="C326">
        <v>-0.1180875152349472</v>
      </c>
      <c r="D326">
        <v>-0.20602558553218842</v>
      </c>
      <c r="E326">
        <v>0.43068519234657288</v>
      </c>
      <c r="F326">
        <v>13.152044296264648</v>
      </c>
      <c r="G326">
        <v>515063</v>
      </c>
    </row>
    <row r="327" spans="1:7" x14ac:dyDescent="0.2">
      <c r="A327">
        <v>30200</v>
      </c>
      <c r="B327" t="s">
        <v>3024</v>
      </c>
      <c r="C327">
        <v>-0.11094020307064056</v>
      </c>
      <c r="D327">
        <v>-0.19500814378261566</v>
      </c>
      <c r="E327">
        <v>0.46246954798698425</v>
      </c>
      <c r="F327">
        <v>13.151834487915039</v>
      </c>
      <c r="G327">
        <v>514955</v>
      </c>
    </row>
    <row r="328" spans="1:7" x14ac:dyDescent="0.2">
      <c r="A328">
        <v>5800</v>
      </c>
      <c r="B328" t="s">
        <v>3028</v>
      </c>
      <c r="C328">
        <v>-0.11451919376850128</v>
      </c>
      <c r="D328">
        <v>-0.20141245424747467</v>
      </c>
      <c r="E328">
        <v>0.42238712310791016</v>
      </c>
      <c r="F328">
        <v>13.144612312316895</v>
      </c>
      <c r="G328">
        <v>511249</v>
      </c>
    </row>
    <row r="329" spans="1:7" x14ac:dyDescent="0.2">
      <c r="A329">
        <v>21302</v>
      </c>
      <c r="B329" t="s">
        <v>3022</v>
      </c>
      <c r="C329">
        <v>-1.9614476710557938E-2</v>
      </c>
      <c r="D329">
        <v>-6.423206627368927E-2</v>
      </c>
      <c r="E329">
        <v>0.56467300653457642</v>
      </c>
      <c r="F329">
        <v>13.138575553894043</v>
      </c>
      <c r="G329">
        <v>508172</v>
      </c>
    </row>
    <row r="330" spans="1:7" x14ac:dyDescent="0.2">
      <c r="A330">
        <v>34503</v>
      </c>
      <c r="B330" t="s">
        <v>3027</v>
      </c>
      <c r="C330">
        <v>-0.10543681681156158</v>
      </c>
      <c r="D330">
        <v>-0.1849331259727478</v>
      </c>
      <c r="E330">
        <v>0.54217272996902466</v>
      </c>
      <c r="F330">
        <v>13.137710571289062</v>
      </c>
      <c r="G330">
        <v>507733</v>
      </c>
    </row>
    <row r="331" spans="1:7" x14ac:dyDescent="0.2">
      <c r="A331">
        <v>13800</v>
      </c>
      <c r="B331" t="s">
        <v>3031</v>
      </c>
      <c r="C331">
        <v>-6.9283723831176758E-2</v>
      </c>
      <c r="D331">
        <v>-0.13806420564651489</v>
      </c>
      <c r="E331">
        <v>0.43066176772117615</v>
      </c>
      <c r="F331">
        <v>13.134159088134766</v>
      </c>
      <c r="G331">
        <v>505933</v>
      </c>
    </row>
    <row r="332" spans="1:7" x14ac:dyDescent="0.2">
      <c r="A332">
        <v>29403</v>
      </c>
      <c r="B332" t="s">
        <v>3032</v>
      </c>
      <c r="C332">
        <v>-0.11228246986865997</v>
      </c>
      <c r="D332">
        <v>-0.19562074542045593</v>
      </c>
      <c r="E332">
        <v>0.51435017585754395</v>
      </c>
      <c r="F332">
        <v>13.122421264648438</v>
      </c>
      <c r="G332">
        <v>500029</v>
      </c>
    </row>
    <row r="333" spans="1:7" x14ac:dyDescent="0.2">
      <c r="A333">
        <v>9500</v>
      </c>
      <c r="B333" t="s">
        <v>3035</v>
      </c>
      <c r="C333">
        <v>-8.51430743932724E-2</v>
      </c>
      <c r="D333">
        <v>-0.16069720685482025</v>
      </c>
      <c r="E333">
        <v>0.42178916931152344</v>
      </c>
      <c r="F333">
        <v>13.121648788452148</v>
      </c>
      <c r="G333">
        <v>499643</v>
      </c>
    </row>
    <row r="334" spans="1:7" x14ac:dyDescent="0.2">
      <c r="A334">
        <v>23000</v>
      </c>
      <c r="B334" t="s">
        <v>3030</v>
      </c>
      <c r="C334">
        <v>-7.374824583530426E-2</v>
      </c>
      <c r="D334">
        <v>-0.14092400670051575</v>
      </c>
      <c r="E334">
        <v>0.54071468114852905</v>
      </c>
      <c r="F334">
        <v>13.121044158935547</v>
      </c>
      <c r="G334">
        <v>499341</v>
      </c>
    </row>
    <row r="335" spans="1:7" x14ac:dyDescent="0.2">
      <c r="A335">
        <v>23600</v>
      </c>
      <c r="B335" t="s">
        <v>3034</v>
      </c>
      <c r="C335">
        <v>-8.390064537525177E-2</v>
      </c>
      <c r="D335">
        <v>-0.15610861778259277</v>
      </c>
      <c r="E335">
        <v>0.5119670033454895</v>
      </c>
      <c r="F335">
        <v>13.116664886474609</v>
      </c>
      <c r="G335">
        <v>497159</v>
      </c>
    </row>
    <row r="336" spans="1:7" x14ac:dyDescent="0.2">
      <c r="A336">
        <v>26704</v>
      </c>
      <c r="B336" t="s">
        <v>3029</v>
      </c>
      <c r="C336">
        <v>-4.8056352883577347E-2</v>
      </c>
      <c r="D336">
        <v>-0.1014624685049057</v>
      </c>
      <c r="E336">
        <v>0.65357476472854614</v>
      </c>
      <c r="F336">
        <v>13.113470077514648</v>
      </c>
      <c r="G336">
        <v>495573</v>
      </c>
    </row>
    <row r="337" spans="1:7" x14ac:dyDescent="0.2">
      <c r="A337">
        <v>27702</v>
      </c>
      <c r="B337" t="s">
        <v>3037</v>
      </c>
      <c r="C337">
        <v>-6.169385090470314E-2</v>
      </c>
      <c r="D337">
        <v>-0.1210162565112114</v>
      </c>
      <c r="E337">
        <v>0.64850842952728271</v>
      </c>
      <c r="F337">
        <v>13.09041690826416</v>
      </c>
      <c r="G337">
        <v>484279</v>
      </c>
    </row>
    <row r="338" spans="1:7" x14ac:dyDescent="0.2">
      <c r="A338">
        <v>4102</v>
      </c>
      <c r="B338" t="s">
        <v>3039</v>
      </c>
      <c r="C338">
        <v>-7.90911465883255E-2</v>
      </c>
      <c r="D338">
        <v>-0.15170133113861084</v>
      </c>
      <c r="E338">
        <v>0.45519682765007019</v>
      </c>
      <c r="F338">
        <v>13.083212852478027</v>
      </c>
      <c r="G338">
        <v>480803</v>
      </c>
    </row>
    <row r="339" spans="1:7" x14ac:dyDescent="0.2">
      <c r="A339">
        <v>20700</v>
      </c>
      <c r="B339" t="s">
        <v>3036</v>
      </c>
      <c r="C339">
        <v>-5.8104652911424637E-2</v>
      </c>
      <c r="D339">
        <v>-0.11898194253444672</v>
      </c>
      <c r="E339">
        <v>0.55969589948654175</v>
      </c>
      <c r="F339">
        <v>13.08309268951416</v>
      </c>
      <c r="G339">
        <v>480745</v>
      </c>
    </row>
    <row r="340" spans="1:7" x14ac:dyDescent="0.2">
      <c r="A340">
        <v>25401</v>
      </c>
      <c r="B340" t="s">
        <v>3033</v>
      </c>
      <c r="C340">
        <v>-9.5091506838798523E-2</v>
      </c>
      <c r="D340">
        <v>-0.17151607573032379</v>
      </c>
      <c r="E340">
        <v>0.53432810306549072</v>
      </c>
      <c r="F340">
        <v>13.082179069519043</v>
      </c>
      <c r="G340">
        <v>480306</v>
      </c>
    </row>
    <row r="341" spans="1:7" x14ac:dyDescent="0.2">
      <c r="A341">
        <v>21900</v>
      </c>
      <c r="B341" t="s">
        <v>3038</v>
      </c>
      <c r="C341">
        <v>-4.3239179998636246E-2</v>
      </c>
      <c r="D341">
        <v>-9.8812952637672424E-2</v>
      </c>
      <c r="E341">
        <v>0.5453905463218689</v>
      </c>
      <c r="F341">
        <v>13.072830200195312</v>
      </c>
      <c r="G341">
        <v>475837</v>
      </c>
    </row>
    <row r="342" spans="1:7" x14ac:dyDescent="0.2">
      <c r="A342">
        <v>32301</v>
      </c>
      <c r="B342" t="s">
        <v>3042</v>
      </c>
      <c r="C342">
        <v>-4.7281835228204727E-2</v>
      </c>
      <c r="D342">
        <v>-0.10619907081127167</v>
      </c>
      <c r="E342">
        <v>0.49486428499221802</v>
      </c>
      <c r="F342">
        <v>13.065945625305176</v>
      </c>
      <c r="G342">
        <v>472572</v>
      </c>
    </row>
    <row r="343" spans="1:7" x14ac:dyDescent="0.2">
      <c r="A343">
        <v>26304</v>
      </c>
      <c r="B343" t="s">
        <v>3049</v>
      </c>
      <c r="C343">
        <v>2.7435790747404099E-2</v>
      </c>
      <c r="D343">
        <v>2.5262667331844568E-3</v>
      </c>
      <c r="E343">
        <v>0.62843328714370728</v>
      </c>
      <c r="F343">
        <v>13.06302547454834</v>
      </c>
      <c r="G343">
        <v>471194</v>
      </c>
    </row>
    <row r="344" spans="1:7" x14ac:dyDescent="0.2">
      <c r="A344">
        <v>4402</v>
      </c>
      <c r="B344" t="s">
        <v>3040</v>
      </c>
      <c r="C344">
        <v>-0.11984248459339142</v>
      </c>
      <c r="D344">
        <v>-0.20711085200309753</v>
      </c>
      <c r="E344">
        <v>0.515921950340271</v>
      </c>
      <c r="F344">
        <v>13.053874969482422</v>
      </c>
      <c r="G344">
        <v>466902</v>
      </c>
    </row>
    <row r="345" spans="1:7" x14ac:dyDescent="0.2">
      <c r="A345">
        <v>36501</v>
      </c>
      <c r="B345" t="s">
        <v>3043</v>
      </c>
      <c r="C345">
        <v>-6.167568638920784E-2</v>
      </c>
      <c r="D345">
        <v>-0.12580937147140503</v>
      </c>
      <c r="E345">
        <v>0.5165855884552002</v>
      </c>
      <c r="F345">
        <v>13.052215576171875</v>
      </c>
      <c r="G345">
        <v>466128</v>
      </c>
    </row>
    <row r="346" spans="1:7" x14ac:dyDescent="0.2">
      <c r="A346">
        <v>2100</v>
      </c>
      <c r="B346" t="s">
        <v>3041</v>
      </c>
      <c r="C346">
        <v>-9.8151817917823792E-2</v>
      </c>
      <c r="D346">
        <v>-0.17619962990283966</v>
      </c>
      <c r="E346">
        <v>0.53752017021179199</v>
      </c>
      <c r="F346">
        <v>13.046326637268066</v>
      </c>
      <c r="G346">
        <v>463391</v>
      </c>
    </row>
    <row r="347" spans="1:7" x14ac:dyDescent="0.2">
      <c r="A347">
        <v>26901</v>
      </c>
      <c r="B347" t="s">
        <v>3046</v>
      </c>
      <c r="C347">
        <v>-7.055036723613739E-2</v>
      </c>
      <c r="D347">
        <v>-0.13614186644554138</v>
      </c>
      <c r="E347">
        <v>0.59263646602630615</v>
      </c>
      <c r="F347">
        <v>13.024580955505371</v>
      </c>
      <c r="G347">
        <v>453423</v>
      </c>
    </row>
    <row r="348" spans="1:7" x14ac:dyDescent="0.2">
      <c r="A348">
        <v>30701</v>
      </c>
      <c r="B348" t="s">
        <v>3044</v>
      </c>
      <c r="C348">
        <v>9.9205662991153076E-6</v>
      </c>
      <c r="D348">
        <v>-4.2101453989744186E-2</v>
      </c>
      <c r="E348">
        <v>0.45614638924598694</v>
      </c>
      <c r="F348">
        <v>13.013137817382812</v>
      </c>
      <c r="G348">
        <v>448264</v>
      </c>
    </row>
    <row r="349" spans="1:7" x14ac:dyDescent="0.2">
      <c r="A349">
        <v>8601</v>
      </c>
      <c r="B349" t="s">
        <v>3051</v>
      </c>
      <c r="C349">
        <v>-8.8391885161399841E-2</v>
      </c>
      <c r="D349">
        <v>-0.16760051250457764</v>
      </c>
      <c r="E349">
        <v>0.39696979522705078</v>
      </c>
      <c r="F349">
        <v>13.012005805969238</v>
      </c>
      <c r="G349">
        <v>447757</v>
      </c>
    </row>
    <row r="350" spans="1:7" x14ac:dyDescent="0.2">
      <c r="A350">
        <v>15500</v>
      </c>
      <c r="B350" t="s">
        <v>3045</v>
      </c>
      <c r="C350">
        <v>-0.11759619414806366</v>
      </c>
      <c r="D350">
        <v>-0.20517043769359589</v>
      </c>
      <c r="E350">
        <v>0.50285577774047852</v>
      </c>
      <c r="F350">
        <v>12.999266624450684</v>
      </c>
      <c r="G350">
        <v>442089</v>
      </c>
    </row>
    <row r="351" spans="1:7" x14ac:dyDescent="0.2">
      <c r="A351">
        <v>11401</v>
      </c>
      <c r="B351" t="s">
        <v>3048</v>
      </c>
      <c r="C351">
        <v>-0.11602212488651276</v>
      </c>
      <c r="D351">
        <v>-0.2013060450553894</v>
      </c>
      <c r="E351">
        <v>0.55529630184173584</v>
      </c>
      <c r="F351">
        <v>12.996772766113281</v>
      </c>
      <c r="G351">
        <v>440988</v>
      </c>
    </row>
    <row r="352" spans="1:7" x14ac:dyDescent="0.2">
      <c r="A352">
        <v>5100</v>
      </c>
      <c r="B352" t="s">
        <v>3053</v>
      </c>
      <c r="C352">
        <v>-0.10839466750621796</v>
      </c>
      <c r="D352">
        <v>-0.19401161372661591</v>
      </c>
      <c r="E352">
        <v>0.45407029986381531</v>
      </c>
      <c r="F352">
        <v>12.99070930480957</v>
      </c>
      <c r="G352">
        <v>438322</v>
      </c>
    </row>
    <row r="353" spans="1:7" x14ac:dyDescent="0.2">
      <c r="A353">
        <v>8602</v>
      </c>
      <c r="B353" t="s">
        <v>3047</v>
      </c>
      <c r="C353">
        <v>-5.7611797004938126E-2</v>
      </c>
      <c r="D353">
        <v>-0.12172624468803406</v>
      </c>
      <c r="E353">
        <v>0.49439969658851624</v>
      </c>
      <c r="F353">
        <v>12.990407943725586</v>
      </c>
      <c r="G353">
        <v>438190</v>
      </c>
    </row>
    <row r="354" spans="1:7" x14ac:dyDescent="0.2">
      <c r="A354">
        <v>33700</v>
      </c>
      <c r="B354" t="s">
        <v>3052</v>
      </c>
      <c r="C354">
        <v>-7.4611574411392212E-2</v>
      </c>
      <c r="D354">
        <v>-0.1460447758436203</v>
      </c>
      <c r="E354">
        <v>0.47742176055908203</v>
      </c>
      <c r="F354">
        <v>12.989946365356445</v>
      </c>
      <c r="G354">
        <v>437988</v>
      </c>
    </row>
    <row r="355" spans="1:7" x14ac:dyDescent="0.2">
      <c r="A355">
        <v>12001</v>
      </c>
      <c r="B355" t="s">
        <v>3054</v>
      </c>
      <c r="C355">
        <v>-0.11690418422222137</v>
      </c>
      <c r="D355">
        <v>-0.2047601193189621</v>
      </c>
      <c r="E355">
        <v>0.49054667353630066</v>
      </c>
      <c r="F355">
        <v>12.98814582824707</v>
      </c>
      <c r="G355">
        <v>437200</v>
      </c>
    </row>
    <row r="356" spans="1:7" x14ac:dyDescent="0.2">
      <c r="A356">
        <v>11402</v>
      </c>
      <c r="B356" t="s">
        <v>3057</v>
      </c>
      <c r="C356">
        <v>-9.1522231698036194E-2</v>
      </c>
      <c r="D356">
        <v>-0.16763508319854736</v>
      </c>
      <c r="E356">
        <v>0.54253196716308594</v>
      </c>
      <c r="F356">
        <v>12.985482215881348</v>
      </c>
      <c r="G356">
        <v>436037</v>
      </c>
    </row>
    <row r="357" spans="1:7" x14ac:dyDescent="0.2">
      <c r="A357">
        <v>4702</v>
      </c>
      <c r="B357" t="s">
        <v>3050</v>
      </c>
      <c r="C357">
        <v>-9.8136559128761292E-2</v>
      </c>
      <c r="D357">
        <v>-0.17791260778903961</v>
      </c>
      <c r="E357">
        <v>0.51605665683746338</v>
      </c>
      <c r="F357">
        <v>12.973222732543945</v>
      </c>
      <c r="G357">
        <v>430724</v>
      </c>
    </row>
    <row r="358" spans="1:7" x14ac:dyDescent="0.2">
      <c r="A358">
        <v>26701</v>
      </c>
      <c r="B358" t="s">
        <v>3055</v>
      </c>
      <c r="C358">
        <v>-8.1911936402320862E-2</v>
      </c>
      <c r="D358">
        <v>-0.15391400456428528</v>
      </c>
      <c r="E358">
        <v>0.56058818101882935</v>
      </c>
      <c r="F358">
        <v>12.964571952819824</v>
      </c>
      <c r="G358">
        <v>427014</v>
      </c>
    </row>
    <row r="359" spans="1:7" x14ac:dyDescent="0.2">
      <c r="A359">
        <v>4602</v>
      </c>
      <c r="B359" t="s">
        <v>3058</v>
      </c>
      <c r="C359">
        <v>-0.18320907652378082</v>
      </c>
      <c r="D359">
        <v>-0.30019325017929077</v>
      </c>
      <c r="E359">
        <v>0.41818743944168091</v>
      </c>
      <c r="F359">
        <v>12.959345817565918</v>
      </c>
      <c r="G359">
        <v>424788</v>
      </c>
    </row>
    <row r="360" spans="1:7" x14ac:dyDescent="0.2">
      <c r="A360">
        <v>4401</v>
      </c>
      <c r="B360" t="s">
        <v>3056</v>
      </c>
      <c r="C360">
        <v>-0.15631906688213348</v>
      </c>
      <c r="D360">
        <v>-0.26299169659614563</v>
      </c>
      <c r="E360">
        <v>0.407470703125</v>
      </c>
      <c r="F360">
        <v>12.956738471984863</v>
      </c>
      <c r="G360">
        <v>423682</v>
      </c>
    </row>
    <row r="361" spans="1:7" x14ac:dyDescent="0.2">
      <c r="A361">
        <v>36404</v>
      </c>
      <c r="B361" t="s">
        <v>3062</v>
      </c>
      <c r="C361">
        <v>-1.1643249541521072E-2</v>
      </c>
      <c r="D361">
        <v>-5.5609427392482758E-2</v>
      </c>
      <c r="E361">
        <v>0.56695252656936646</v>
      </c>
      <c r="F361">
        <v>12.95606517791748</v>
      </c>
      <c r="G361">
        <v>423397</v>
      </c>
    </row>
    <row r="362" spans="1:7" x14ac:dyDescent="0.2">
      <c r="A362">
        <v>38502</v>
      </c>
      <c r="B362" t="s">
        <v>3059</v>
      </c>
      <c r="C362">
        <v>9.4938240945339203E-3</v>
      </c>
      <c r="D362">
        <v>-2.9616823419928551E-2</v>
      </c>
      <c r="E362">
        <v>0.46229803562164307</v>
      </c>
      <c r="F362">
        <v>12.944795608520508</v>
      </c>
      <c r="G362">
        <v>418652</v>
      </c>
    </row>
    <row r="363" spans="1:7" x14ac:dyDescent="0.2">
      <c r="A363">
        <v>25300</v>
      </c>
      <c r="B363" t="s">
        <v>3061</v>
      </c>
      <c r="C363">
        <v>-0.10218517482280731</v>
      </c>
      <c r="D363">
        <v>-0.18508271872997284</v>
      </c>
      <c r="E363">
        <v>0.48391053080558777</v>
      </c>
      <c r="F363">
        <v>12.94019889831543</v>
      </c>
      <c r="G363">
        <v>416732</v>
      </c>
    </row>
    <row r="364" spans="1:7" x14ac:dyDescent="0.2">
      <c r="A364">
        <v>8702</v>
      </c>
      <c r="B364" t="s">
        <v>3060</v>
      </c>
      <c r="C364">
        <v>-7.7217534184455872E-2</v>
      </c>
      <c r="D364">
        <v>-0.15127453207969666</v>
      </c>
      <c r="E364">
        <v>0.45653444528579712</v>
      </c>
      <c r="F364">
        <v>12.925881385803223</v>
      </c>
      <c r="G364">
        <v>410808</v>
      </c>
    </row>
    <row r="365" spans="1:7" x14ac:dyDescent="0.2">
      <c r="A365">
        <v>9001</v>
      </c>
      <c r="B365" t="s">
        <v>3064</v>
      </c>
      <c r="C365">
        <v>-7.8338280320167542E-2</v>
      </c>
      <c r="D365">
        <v>-0.15323279798030853</v>
      </c>
      <c r="E365">
        <v>0.44599619507789612</v>
      </c>
      <c r="F365">
        <v>12.92234992980957</v>
      </c>
      <c r="G365">
        <v>409360</v>
      </c>
    </row>
    <row r="366" spans="1:7" x14ac:dyDescent="0.2">
      <c r="A366">
        <v>2800</v>
      </c>
      <c r="B366" t="s">
        <v>3066</v>
      </c>
      <c r="C366">
        <v>-9.7796037793159485E-2</v>
      </c>
      <c r="D366">
        <v>-0.1791747510433197</v>
      </c>
      <c r="E366">
        <v>0.48508423566818237</v>
      </c>
      <c r="F366">
        <v>12.921544075012207</v>
      </c>
      <c r="G366">
        <v>409030</v>
      </c>
    </row>
    <row r="367" spans="1:7" x14ac:dyDescent="0.2">
      <c r="A367">
        <v>27402</v>
      </c>
      <c r="B367" t="s">
        <v>3063</v>
      </c>
      <c r="C367">
        <v>-7.7145710587501526E-2</v>
      </c>
      <c r="D367">
        <v>-0.14790259301662445</v>
      </c>
      <c r="E367">
        <v>0.56286978721618652</v>
      </c>
      <c r="F367">
        <v>12.91357421875</v>
      </c>
      <c r="G367">
        <v>405783</v>
      </c>
    </row>
    <row r="368" spans="1:7" x14ac:dyDescent="0.2">
      <c r="A368">
        <v>24500</v>
      </c>
      <c r="B368" t="s">
        <v>3069</v>
      </c>
      <c r="C368">
        <v>-0.13108710944652557</v>
      </c>
      <c r="D368">
        <v>-0.22679644823074341</v>
      </c>
      <c r="E368">
        <v>0.457243412733078</v>
      </c>
      <c r="F368">
        <v>12.90843677520752</v>
      </c>
      <c r="G368">
        <v>403704</v>
      </c>
    </row>
    <row r="369" spans="1:7" x14ac:dyDescent="0.2">
      <c r="A369">
        <v>2600</v>
      </c>
      <c r="B369" t="s">
        <v>3070</v>
      </c>
      <c r="C369">
        <v>-0.10068093240261078</v>
      </c>
      <c r="D369">
        <v>-0.18404731154441833</v>
      </c>
      <c r="E369">
        <v>0.46711760759353638</v>
      </c>
      <c r="F369">
        <v>12.903395652770996</v>
      </c>
      <c r="G369">
        <v>401674</v>
      </c>
    </row>
    <row r="370" spans="1:7" x14ac:dyDescent="0.2">
      <c r="A370">
        <v>5300</v>
      </c>
      <c r="B370" t="s">
        <v>3068</v>
      </c>
      <c r="C370">
        <v>-8.4195628762245178E-2</v>
      </c>
      <c r="D370">
        <v>-0.16208520531654358</v>
      </c>
      <c r="E370">
        <v>0.4384380578994751</v>
      </c>
      <c r="F370">
        <v>12.89277172088623</v>
      </c>
      <c r="G370">
        <v>397429</v>
      </c>
    </row>
    <row r="371" spans="1:7" x14ac:dyDescent="0.2">
      <c r="A371">
        <v>12502</v>
      </c>
      <c r="B371" t="s">
        <v>3067</v>
      </c>
      <c r="C371">
        <v>-8.9420035481452942E-2</v>
      </c>
      <c r="D371">
        <v>-0.17063377797603607</v>
      </c>
      <c r="E371">
        <v>0.40317216515541077</v>
      </c>
      <c r="F371">
        <v>12.885516166687012</v>
      </c>
      <c r="G371">
        <v>394556</v>
      </c>
    </row>
    <row r="372" spans="1:7" x14ac:dyDescent="0.2">
      <c r="A372">
        <v>21101</v>
      </c>
      <c r="B372" t="s">
        <v>3076</v>
      </c>
      <c r="C372">
        <v>-5.8685336261987686E-2</v>
      </c>
      <c r="D372">
        <v>-0.12302341312170029</v>
      </c>
      <c r="E372">
        <v>0.54774820804595947</v>
      </c>
      <c r="F372">
        <v>12.883027076721191</v>
      </c>
      <c r="G372">
        <v>393575</v>
      </c>
    </row>
    <row r="373" spans="1:7" x14ac:dyDescent="0.2">
      <c r="A373">
        <v>34603</v>
      </c>
      <c r="B373" t="s">
        <v>3065</v>
      </c>
      <c r="C373">
        <v>-7.8240074217319489E-3</v>
      </c>
      <c r="D373">
        <v>-5.3114663809537888E-2</v>
      </c>
      <c r="E373">
        <v>0.51268893480300903</v>
      </c>
      <c r="F373">
        <v>12.879708290100098</v>
      </c>
      <c r="G373">
        <v>392271</v>
      </c>
    </row>
    <row r="374" spans="1:7" x14ac:dyDescent="0.2">
      <c r="A374">
        <v>18500</v>
      </c>
      <c r="B374" t="s">
        <v>3073</v>
      </c>
      <c r="C374">
        <v>-4.434778168797493E-2</v>
      </c>
      <c r="D374">
        <v>-0.10450197011232376</v>
      </c>
      <c r="E374">
        <v>0.50361132621765137</v>
      </c>
      <c r="F374">
        <v>12.876792907714844</v>
      </c>
      <c r="G374">
        <v>391129</v>
      </c>
    </row>
    <row r="375" spans="1:7" x14ac:dyDescent="0.2">
      <c r="A375">
        <v>38501</v>
      </c>
      <c r="B375" t="s">
        <v>3071</v>
      </c>
      <c r="C375">
        <v>-1.586524024605751E-2</v>
      </c>
      <c r="D375">
        <v>-6.5617047250270844E-2</v>
      </c>
      <c r="E375">
        <v>0.48215463757514954</v>
      </c>
      <c r="F375">
        <v>12.860494613647461</v>
      </c>
      <c r="G375">
        <v>384806</v>
      </c>
    </row>
    <row r="376" spans="1:7" x14ac:dyDescent="0.2">
      <c r="A376">
        <v>23301</v>
      </c>
      <c r="B376" t="s">
        <v>3075</v>
      </c>
      <c r="C376">
        <v>-9.8651126027107239E-2</v>
      </c>
      <c r="D376">
        <v>-0.17994049191474915</v>
      </c>
      <c r="E376">
        <v>0.52538251876831055</v>
      </c>
      <c r="F376">
        <v>12.859845161437988</v>
      </c>
      <c r="G376">
        <v>384556</v>
      </c>
    </row>
    <row r="377" spans="1:7" x14ac:dyDescent="0.2">
      <c r="A377">
        <v>9302</v>
      </c>
      <c r="B377" t="s">
        <v>3082</v>
      </c>
      <c r="C377">
        <v>-8.4484532475471497E-2</v>
      </c>
      <c r="D377">
        <v>-0.16285564005374908</v>
      </c>
      <c r="E377">
        <v>0.44411516189575195</v>
      </c>
      <c r="F377">
        <v>12.854018211364746</v>
      </c>
      <c r="G377">
        <v>382322</v>
      </c>
    </row>
    <row r="378" spans="1:7" x14ac:dyDescent="0.2">
      <c r="A378">
        <v>20301</v>
      </c>
      <c r="B378" t="s">
        <v>3072</v>
      </c>
      <c r="C378">
        <v>-5.5976856499910355E-2</v>
      </c>
      <c r="D378">
        <v>-0.11850256472826004</v>
      </c>
      <c r="E378">
        <v>0.58455240726470947</v>
      </c>
      <c r="F378">
        <v>12.850804328918457</v>
      </c>
      <c r="G378">
        <v>381095</v>
      </c>
    </row>
    <row r="379" spans="1:7" x14ac:dyDescent="0.2">
      <c r="A379">
        <v>30502</v>
      </c>
      <c r="B379" t="s">
        <v>3080</v>
      </c>
      <c r="C379">
        <v>-9.0170368552207947E-2</v>
      </c>
      <c r="D379">
        <v>-0.17077846825122833</v>
      </c>
      <c r="E379">
        <v>0.44695097208023071</v>
      </c>
      <c r="F379">
        <v>12.849283218383789</v>
      </c>
      <c r="G379">
        <v>380516</v>
      </c>
    </row>
    <row r="380" spans="1:7" x14ac:dyDescent="0.2">
      <c r="A380">
        <v>10502</v>
      </c>
      <c r="B380" t="s">
        <v>3078</v>
      </c>
      <c r="C380">
        <v>-0.10853420197963715</v>
      </c>
      <c r="D380">
        <v>-0.19190666079521179</v>
      </c>
      <c r="E380">
        <v>0.58821731805801392</v>
      </c>
      <c r="F380">
        <v>12.846580505371094</v>
      </c>
      <c r="G380">
        <v>379489</v>
      </c>
    </row>
    <row r="381" spans="1:7" x14ac:dyDescent="0.2">
      <c r="A381">
        <v>12600</v>
      </c>
      <c r="B381" t="s">
        <v>3081</v>
      </c>
      <c r="C381">
        <v>-0.11221592128276825</v>
      </c>
      <c r="D381">
        <v>-0.20190134644508362</v>
      </c>
      <c r="E381">
        <v>0.43932062387466431</v>
      </c>
      <c r="F381">
        <v>12.844987869262695</v>
      </c>
      <c r="G381">
        <v>378885</v>
      </c>
    </row>
    <row r="382" spans="1:7" x14ac:dyDescent="0.2">
      <c r="A382">
        <v>34203</v>
      </c>
      <c r="B382" t="s">
        <v>3077</v>
      </c>
      <c r="C382">
        <v>-0.11589159071445465</v>
      </c>
      <c r="D382">
        <v>-0.20319172739982605</v>
      </c>
      <c r="E382">
        <v>0.5586896538734436</v>
      </c>
      <c r="F382">
        <v>12.843474388122559</v>
      </c>
      <c r="G382">
        <v>378312</v>
      </c>
    </row>
    <row r="383" spans="1:7" x14ac:dyDescent="0.2">
      <c r="A383">
        <v>12903</v>
      </c>
      <c r="B383" t="s">
        <v>3074</v>
      </c>
      <c r="C383">
        <v>-9.5893874764442444E-2</v>
      </c>
      <c r="D383">
        <v>-0.17605338990688324</v>
      </c>
      <c r="E383">
        <v>0.53442835807800293</v>
      </c>
      <c r="F383">
        <v>12.841540336608887</v>
      </c>
      <c r="G383">
        <v>377581</v>
      </c>
    </row>
    <row r="384" spans="1:7" x14ac:dyDescent="0.2">
      <c r="A384">
        <v>6302</v>
      </c>
      <c r="B384" t="s">
        <v>3085</v>
      </c>
      <c r="C384">
        <v>-0.13255088031291962</v>
      </c>
      <c r="D384">
        <v>-0.23135349154472351</v>
      </c>
      <c r="E384">
        <v>0.41076666116714478</v>
      </c>
      <c r="F384">
        <v>12.837724685668945</v>
      </c>
      <c r="G384">
        <v>376143</v>
      </c>
    </row>
    <row r="385" spans="1:7" x14ac:dyDescent="0.2">
      <c r="A385">
        <v>13502</v>
      </c>
      <c r="B385" t="s">
        <v>3083</v>
      </c>
      <c r="C385">
        <v>-5.8384958654642105E-2</v>
      </c>
      <c r="D385">
        <v>-0.12649630010128021</v>
      </c>
      <c r="E385">
        <v>0.45035856962203979</v>
      </c>
      <c r="F385">
        <v>12.831208229064941</v>
      </c>
      <c r="G385">
        <v>373700</v>
      </c>
    </row>
    <row r="386" spans="1:7" x14ac:dyDescent="0.2">
      <c r="A386">
        <v>6402</v>
      </c>
      <c r="B386" t="s">
        <v>3079</v>
      </c>
      <c r="C386">
        <v>-0.10595695674419403</v>
      </c>
      <c r="D386">
        <v>-0.19460245966911316</v>
      </c>
      <c r="E386">
        <v>0.40767157077789307</v>
      </c>
      <c r="F386">
        <v>12.815150260925293</v>
      </c>
      <c r="G386">
        <v>367747</v>
      </c>
    </row>
    <row r="387" spans="1:7" x14ac:dyDescent="0.2">
      <c r="A387">
        <v>32802</v>
      </c>
      <c r="B387" t="s">
        <v>3084</v>
      </c>
      <c r="C387">
        <v>-6.1813134700059891E-2</v>
      </c>
      <c r="D387">
        <v>-0.13250184059143066</v>
      </c>
      <c r="E387">
        <v>0.42356455326080322</v>
      </c>
      <c r="F387">
        <v>12.806901931762695</v>
      </c>
      <c r="G387">
        <v>364726</v>
      </c>
    </row>
    <row r="388" spans="1:7" x14ac:dyDescent="0.2">
      <c r="A388">
        <v>29501</v>
      </c>
      <c r="B388" t="s">
        <v>3090</v>
      </c>
      <c r="C388">
        <v>-4.2449180036783218E-2</v>
      </c>
      <c r="D388">
        <v>-0.10126557201147079</v>
      </c>
      <c r="E388">
        <v>0.55764085054397583</v>
      </c>
      <c r="F388">
        <v>12.794548034667969</v>
      </c>
      <c r="G388">
        <v>360248</v>
      </c>
    </row>
    <row r="389" spans="1:7" x14ac:dyDescent="0.2">
      <c r="A389">
        <v>30801</v>
      </c>
      <c r="B389" t="s">
        <v>3087</v>
      </c>
      <c r="C389">
        <v>2.3441310971975327E-2</v>
      </c>
      <c r="D389">
        <v>-1.4479720033705235E-2</v>
      </c>
      <c r="E389">
        <v>0.39435428380966187</v>
      </c>
      <c r="F389">
        <v>12.793045043945312</v>
      </c>
      <c r="G389">
        <v>359707</v>
      </c>
    </row>
    <row r="390" spans="1:7" x14ac:dyDescent="0.2">
      <c r="A390">
        <v>38602</v>
      </c>
      <c r="B390" t="s">
        <v>2790</v>
      </c>
      <c r="C390">
        <v>7.2174184024333954E-3</v>
      </c>
      <c r="D390">
        <v>-3.4624937921762466E-2</v>
      </c>
      <c r="E390">
        <v>0.47991132736206055</v>
      </c>
      <c r="F390">
        <v>12.776082992553711</v>
      </c>
      <c r="G390">
        <v>353657</v>
      </c>
    </row>
    <row r="391" spans="1:7" x14ac:dyDescent="0.2">
      <c r="A391">
        <v>32202</v>
      </c>
      <c r="B391" t="s">
        <v>3089</v>
      </c>
      <c r="C391">
        <v>-7.3658302426338196E-2</v>
      </c>
      <c r="D391">
        <v>-0.14826253056526184</v>
      </c>
      <c r="E391">
        <v>0.46186032891273499</v>
      </c>
      <c r="F391">
        <v>12.77557373046875</v>
      </c>
      <c r="G391">
        <v>353477</v>
      </c>
    </row>
    <row r="392" spans="1:7" x14ac:dyDescent="0.2">
      <c r="A392">
        <v>23302</v>
      </c>
      <c r="B392" t="s">
        <v>3088</v>
      </c>
      <c r="C392">
        <v>-7.80344158411026E-2</v>
      </c>
      <c r="D392">
        <v>-0.15268874168395996</v>
      </c>
      <c r="E392">
        <v>0.5197904109954834</v>
      </c>
      <c r="F392">
        <v>12.762414932250977</v>
      </c>
      <c r="G392">
        <v>348856</v>
      </c>
    </row>
    <row r="393" spans="1:7" x14ac:dyDescent="0.2">
      <c r="A393">
        <v>33802</v>
      </c>
      <c r="B393" t="s">
        <v>3095</v>
      </c>
      <c r="C393">
        <v>-5.042627826333046E-2</v>
      </c>
      <c r="D393">
        <v>-0.11486538499593735</v>
      </c>
      <c r="E393">
        <v>0.49625679850578308</v>
      </c>
      <c r="F393">
        <v>12.76215934753418</v>
      </c>
      <c r="G393">
        <v>348767</v>
      </c>
    </row>
    <row r="394" spans="1:7" x14ac:dyDescent="0.2">
      <c r="A394">
        <v>38401</v>
      </c>
      <c r="B394" t="s">
        <v>3086</v>
      </c>
      <c r="C394">
        <v>-7.4033483862876892E-2</v>
      </c>
      <c r="D394">
        <v>-0.14560040831565857</v>
      </c>
      <c r="E394">
        <v>0.57107311487197876</v>
      </c>
      <c r="F394">
        <v>12.750720024108887</v>
      </c>
      <c r="G394">
        <v>344800</v>
      </c>
    </row>
    <row r="395" spans="1:7" x14ac:dyDescent="0.2">
      <c r="A395">
        <v>4800</v>
      </c>
      <c r="B395" t="s">
        <v>3091</v>
      </c>
      <c r="C395">
        <v>-0.11665691435337067</v>
      </c>
      <c r="D395">
        <v>-0.20624940097332001</v>
      </c>
      <c r="E395">
        <v>0.54036194086074829</v>
      </c>
      <c r="F395">
        <v>12.745366096496582</v>
      </c>
      <c r="G395">
        <v>342959</v>
      </c>
    </row>
    <row r="396" spans="1:7" x14ac:dyDescent="0.2">
      <c r="A396">
        <v>4302</v>
      </c>
      <c r="B396" t="s">
        <v>3092</v>
      </c>
      <c r="C396">
        <v>-0.10271687805652618</v>
      </c>
      <c r="D396">
        <v>-0.18915350735187531</v>
      </c>
      <c r="E396">
        <v>0.46735492348670959</v>
      </c>
      <c r="F396">
        <v>12.74376392364502</v>
      </c>
      <c r="G396">
        <v>342410</v>
      </c>
    </row>
    <row r="397" spans="1:7" x14ac:dyDescent="0.2">
      <c r="A397">
        <v>27101</v>
      </c>
      <c r="B397" t="s">
        <v>3101</v>
      </c>
      <c r="C397">
        <v>-4.7489035874605179E-2</v>
      </c>
      <c r="D397">
        <v>-0.10855818539857864</v>
      </c>
      <c r="E397">
        <v>0.57358288764953613</v>
      </c>
      <c r="F397">
        <v>12.74072265625</v>
      </c>
      <c r="G397">
        <v>341370</v>
      </c>
    </row>
    <row r="398" spans="1:7" x14ac:dyDescent="0.2">
      <c r="A398">
        <v>402</v>
      </c>
      <c r="B398" t="s">
        <v>3096</v>
      </c>
      <c r="C398">
        <v>-5.5172029882669449E-2</v>
      </c>
      <c r="D398">
        <v>-0.12071139365434647</v>
      </c>
      <c r="E398">
        <v>0.53635019063949585</v>
      </c>
      <c r="F398">
        <v>12.72612190246582</v>
      </c>
      <c r="G398">
        <v>336422</v>
      </c>
    </row>
    <row r="399" spans="1:7" x14ac:dyDescent="0.2">
      <c r="A399">
        <v>25800</v>
      </c>
      <c r="B399" t="s">
        <v>3093</v>
      </c>
      <c r="C399">
        <v>-0.10175047814846039</v>
      </c>
      <c r="D399">
        <v>-0.18995705246925354</v>
      </c>
      <c r="E399">
        <v>0.4108443558216095</v>
      </c>
      <c r="F399">
        <v>12.721043586730957</v>
      </c>
      <c r="G399">
        <v>334718</v>
      </c>
    </row>
    <row r="400" spans="1:7" x14ac:dyDescent="0.2">
      <c r="A400">
        <v>27903</v>
      </c>
      <c r="B400" t="s">
        <v>3099</v>
      </c>
      <c r="C400">
        <v>-6.9590389728546143E-2</v>
      </c>
      <c r="D400">
        <v>-0.14243331551551819</v>
      </c>
      <c r="E400">
        <v>0.49199315905570984</v>
      </c>
      <c r="F400">
        <v>12.716917991638184</v>
      </c>
      <c r="G400">
        <v>333340</v>
      </c>
    </row>
    <row r="401" spans="1:7" x14ac:dyDescent="0.2">
      <c r="A401">
        <v>29504</v>
      </c>
      <c r="B401" t="s">
        <v>3104</v>
      </c>
      <c r="C401">
        <v>-0.12022553384304047</v>
      </c>
      <c r="D401">
        <v>-0.21421688795089722</v>
      </c>
      <c r="E401">
        <v>0.46143171191215515</v>
      </c>
      <c r="F401">
        <v>12.715723991394043</v>
      </c>
      <c r="G401">
        <v>332942</v>
      </c>
    </row>
    <row r="402" spans="1:7" x14ac:dyDescent="0.2">
      <c r="A402">
        <v>29602</v>
      </c>
      <c r="B402" t="s">
        <v>3106</v>
      </c>
      <c r="C402">
        <v>-0.15566147863864899</v>
      </c>
      <c r="D402">
        <v>-0.26332905888557434</v>
      </c>
      <c r="E402">
        <v>0.47683542966842651</v>
      </c>
      <c r="F402">
        <v>12.710073471069336</v>
      </c>
      <c r="G402">
        <v>331066</v>
      </c>
    </row>
    <row r="403" spans="1:7" x14ac:dyDescent="0.2">
      <c r="A403">
        <v>6301</v>
      </c>
      <c r="B403" t="s">
        <v>3098</v>
      </c>
      <c r="C403">
        <v>-0.14555971324443817</v>
      </c>
      <c r="D403">
        <v>-0.25265643000602722</v>
      </c>
      <c r="E403">
        <v>0.37217164039611816</v>
      </c>
      <c r="F403">
        <v>12.706199645996094</v>
      </c>
      <c r="G403">
        <v>329786</v>
      </c>
    </row>
    <row r="404" spans="1:7" x14ac:dyDescent="0.2">
      <c r="A404">
        <v>30401</v>
      </c>
      <c r="B404" t="s">
        <v>3102</v>
      </c>
      <c r="C404">
        <v>-6.9751083850860596E-2</v>
      </c>
      <c r="D404">
        <v>-0.14258705079555511</v>
      </c>
      <c r="E404">
        <v>0.50032246112823486</v>
      </c>
      <c r="F404">
        <v>12.702906608581543</v>
      </c>
      <c r="G404">
        <v>328702</v>
      </c>
    </row>
    <row r="405" spans="1:7" x14ac:dyDescent="0.2">
      <c r="A405">
        <v>39303</v>
      </c>
      <c r="B405" t="s">
        <v>3094</v>
      </c>
      <c r="C405">
        <v>-3.2112885266542435E-2</v>
      </c>
      <c r="D405">
        <v>-8.8922806084156036E-2</v>
      </c>
      <c r="E405">
        <v>0.53552132844924927</v>
      </c>
      <c r="F405">
        <v>12.696855545043945</v>
      </c>
      <c r="G405">
        <v>326719</v>
      </c>
    </row>
    <row r="406" spans="1:7" x14ac:dyDescent="0.2">
      <c r="A406">
        <v>4902</v>
      </c>
      <c r="B406" t="s">
        <v>3100</v>
      </c>
      <c r="C406">
        <v>-7.7450975775718689E-2</v>
      </c>
      <c r="D406">
        <v>-0.15529288351535797</v>
      </c>
      <c r="E406">
        <v>0.44693559408187866</v>
      </c>
      <c r="F406">
        <v>12.687924385070801</v>
      </c>
      <c r="G406">
        <v>323814</v>
      </c>
    </row>
    <row r="407" spans="1:7" x14ac:dyDescent="0.2">
      <c r="A407">
        <v>29302</v>
      </c>
      <c r="B407" t="s">
        <v>3112</v>
      </c>
      <c r="C407">
        <v>-6.5456315875053406E-2</v>
      </c>
      <c r="D407">
        <v>-0.13407321274280548</v>
      </c>
      <c r="E407">
        <v>0.58708351850509644</v>
      </c>
      <c r="F407">
        <v>12.681704521179199</v>
      </c>
      <c r="G407">
        <v>321806</v>
      </c>
    </row>
    <row r="408" spans="1:7" x14ac:dyDescent="0.2">
      <c r="A408">
        <v>601</v>
      </c>
      <c r="B408" t="s">
        <v>3097</v>
      </c>
      <c r="C408">
        <v>-0.12419579923152924</v>
      </c>
      <c r="D408">
        <v>-0.21798714995384216</v>
      </c>
      <c r="E408">
        <v>0.5322301983833313</v>
      </c>
      <c r="F408">
        <v>12.679449081420898</v>
      </c>
      <c r="G408">
        <v>321081</v>
      </c>
    </row>
    <row r="409" spans="1:7" x14ac:dyDescent="0.2">
      <c r="A409">
        <v>23802</v>
      </c>
      <c r="B409" t="s">
        <v>3111</v>
      </c>
      <c r="C409">
        <v>-6.7603632807731628E-2</v>
      </c>
      <c r="D409">
        <v>-0.13840620219707489</v>
      </c>
      <c r="E409">
        <v>0.5563201904296875</v>
      </c>
      <c r="F409">
        <v>12.658164024353027</v>
      </c>
      <c r="G409">
        <v>314319</v>
      </c>
    </row>
    <row r="410" spans="1:7" x14ac:dyDescent="0.2">
      <c r="A410">
        <v>38402</v>
      </c>
      <c r="B410" t="s">
        <v>3105</v>
      </c>
      <c r="C410">
        <v>-5.8578792959451675E-2</v>
      </c>
      <c r="D410">
        <v>-0.12502355873584747</v>
      </c>
      <c r="E410">
        <v>0.58053010702133179</v>
      </c>
      <c r="F410">
        <v>12.656991958618164</v>
      </c>
      <c r="G410">
        <v>313951</v>
      </c>
    </row>
    <row r="411" spans="1:7" x14ac:dyDescent="0.2">
      <c r="A411">
        <v>34002</v>
      </c>
      <c r="B411" t="s">
        <v>3107</v>
      </c>
      <c r="C411">
        <v>-0.12042181193828583</v>
      </c>
      <c r="D411">
        <v>-0.2166900634765625</v>
      </c>
      <c r="E411">
        <v>0.41949215531349182</v>
      </c>
      <c r="F411">
        <v>12.656635284423828</v>
      </c>
      <c r="G411">
        <v>313839</v>
      </c>
    </row>
    <row r="412" spans="1:7" x14ac:dyDescent="0.2">
      <c r="A412">
        <v>3101</v>
      </c>
      <c r="B412" t="s">
        <v>3103</v>
      </c>
      <c r="C412">
        <v>-0.10322801768779755</v>
      </c>
      <c r="D412">
        <v>-0.18959830701351166</v>
      </c>
      <c r="E412">
        <v>0.51397222280502319</v>
      </c>
      <c r="F412">
        <v>12.656402587890625</v>
      </c>
      <c r="G412">
        <v>313766</v>
      </c>
    </row>
    <row r="413" spans="1:7" x14ac:dyDescent="0.2">
      <c r="A413">
        <v>12402</v>
      </c>
      <c r="B413" t="s">
        <v>3109</v>
      </c>
      <c r="C413">
        <v>-0.13590122759342194</v>
      </c>
      <c r="D413">
        <v>-0.23640458285808563</v>
      </c>
      <c r="E413">
        <v>0.48366633057594299</v>
      </c>
      <c r="F413">
        <v>12.645524024963379</v>
      </c>
      <c r="G413">
        <v>310371</v>
      </c>
    </row>
    <row r="414" spans="1:7" x14ac:dyDescent="0.2">
      <c r="A414">
        <v>10501</v>
      </c>
      <c r="B414" t="s">
        <v>3108</v>
      </c>
      <c r="C414">
        <v>-0.10699988901615143</v>
      </c>
      <c r="D414">
        <v>-0.19406040012836456</v>
      </c>
      <c r="E414">
        <v>0.54574322700500488</v>
      </c>
      <c r="F414">
        <v>12.640944480895996</v>
      </c>
      <c r="G414">
        <v>308953</v>
      </c>
    </row>
    <row r="415" spans="1:7" x14ac:dyDescent="0.2">
      <c r="A415">
        <v>30901</v>
      </c>
      <c r="B415" t="s">
        <v>3115</v>
      </c>
      <c r="C415">
        <v>-8.567480742931366E-2</v>
      </c>
      <c r="D415">
        <v>-0.16592320799827576</v>
      </c>
      <c r="E415">
        <v>0.49567100405693054</v>
      </c>
      <c r="F415">
        <v>12.637608528137207</v>
      </c>
      <c r="G415">
        <v>307924</v>
      </c>
    </row>
    <row r="416" spans="1:7" x14ac:dyDescent="0.2">
      <c r="A416">
        <v>34403</v>
      </c>
      <c r="B416" t="s">
        <v>3110</v>
      </c>
      <c r="C416">
        <v>-7.725931704044342E-2</v>
      </c>
      <c r="D416">
        <v>-0.15036652982234955</v>
      </c>
      <c r="E416">
        <v>0.61341202259063721</v>
      </c>
      <c r="F416">
        <v>12.636038780212402</v>
      </c>
      <c r="G416">
        <v>307441</v>
      </c>
    </row>
    <row r="417" spans="1:7" x14ac:dyDescent="0.2">
      <c r="A417">
        <v>30602</v>
      </c>
      <c r="B417" t="s">
        <v>3113</v>
      </c>
      <c r="C417">
        <v>-0.11515884101390839</v>
      </c>
      <c r="D417">
        <v>-0.20674562454223633</v>
      </c>
      <c r="E417">
        <v>0.50999158620834351</v>
      </c>
      <c r="F417">
        <v>12.632343292236328</v>
      </c>
      <c r="G417">
        <v>306307</v>
      </c>
    </row>
    <row r="418" spans="1:7" x14ac:dyDescent="0.2">
      <c r="A418">
        <v>24801</v>
      </c>
      <c r="B418" t="s">
        <v>3114</v>
      </c>
      <c r="C418">
        <v>-7.1625292301177979E-2</v>
      </c>
      <c r="D418">
        <v>-0.14610844850540161</v>
      </c>
      <c r="E418">
        <v>0.5120168924331665</v>
      </c>
      <c r="F418">
        <v>12.612767219543457</v>
      </c>
      <c r="G418">
        <v>300369</v>
      </c>
    </row>
    <row r="419" spans="1:7" x14ac:dyDescent="0.2">
      <c r="A419">
        <v>4502</v>
      </c>
      <c r="B419" t="s">
        <v>3123</v>
      </c>
      <c r="C419">
        <v>-0.15728805959224701</v>
      </c>
      <c r="D419">
        <v>-0.26842841506004333</v>
      </c>
      <c r="E419">
        <v>0.43268901109695435</v>
      </c>
      <c r="F419">
        <v>12.611894607543945</v>
      </c>
      <c r="G419">
        <v>300107</v>
      </c>
    </row>
    <row r="420" spans="1:7" x14ac:dyDescent="0.2">
      <c r="A420">
        <v>21702</v>
      </c>
      <c r="B420" t="s">
        <v>3117</v>
      </c>
      <c r="C420">
        <v>-3.0041415244340897E-2</v>
      </c>
      <c r="D420">
        <v>-8.6951121687889099E-2</v>
      </c>
      <c r="E420">
        <v>0.54619663953781128</v>
      </c>
      <c r="F420">
        <v>12.607489585876465</v>
      </c>
      <c r="G420">
        <v>298788</v>
      </c>
    </row>
    <row r="421" spans="1:7" x14ac:dyDescent="0.2">
      <c r="A421">
        <v>1001</v>
      </c>
      <c r="B421" t="s">
        <v>3116</v>
      </c>
      <c r="C421">
        <v>-0.14587511122226715</v>
      </c>
      <c r="D421">
        <v>-0.24812321364879608</v>
      </c>
      <c r="E421">
        <v>0.56911200284957886</v>
      </c>
      <c r="F421">
        <v>12.607037544250488</v>
      </c>
      <c r="G421">
        <v>298653</v>
      </c>
    </row>
    <row r="422" spans="1:7" x14ac:dyDescent="0.2">
      <c r="A422">
        <v>31303</v>
      </c>
      <c r="B422" t="s">
        <v>3119</v>
      </c>
      <c r="C422">
        <v>-5.87884820997715E-2</v>
      </c>
      <c r="D422">
        <v>-0.12977248430252075</v>
      </c>
      <c r="E422">
        <v>0.47024095058441162</v>
      </c>
      <c r="F422">
        <v>12.594967842102051</v>
      </c>
      <c r="G422">
        <v>295070</v>
      </c>
    </row>
    <row r="423" spans="1:7" x14ac:dyDescent="0.2">
      <c r="A423">
        <v>25102</v>
      </c>
      <c r="B423" t="s">
        <v>3121</v>
      </c>
      <c r="C423">
        <v>-0.18257813155651093</v>
      </c>
      <c r="D423">
        <v>-0.30507105588912964</v>
      </c>
      <c r="E423">
        <v>0.4038698673248291</v>
      </c>
      <c r="F423">
        <v>12.586627006530762</v>
      </c>
      <c r="G423">
        <v>292619</v>
      </c>
    </row>
    <row r="424" spans="1:7" x14ac:dyDescent="0.2">
      <c r="A424">
        <v>21201</v>
      </c>
      <c r="B424" t="s">
        <v>3118</v>
      </c>
      <c r="C424">
        <v>-3.0464205890893936E-2</v>
      </c>
      <c r="D424">
        <v>-8.7145708501338959E-2</v>
      </c>
      <c r="E424">
        <v>0.56901818513870239</v>
      </c>
      <c r="F424">
        <v>12.583327293395996</v>
      </c>
      <c r="G424">
        <v>291655</v>
      </c>
    </row>
    <row r="425" spans="1:7" x14ac:dyDescent="0.2">
      <c r="A425">
        <v>5402</v>
      </c>
      <c r="B425" t="s">
        <v>3127</v>
      </c>
      <c r="C425">
        <v>-0.1348070353269577</v>
      </c>
      <c r="D425">
        <v>-0.23842994868755341</v>
      </c>
      <c r="E425">
        <v>0.40217563509941101</v>
      </c>
      <c r="F425">
        <v>12.581222534179688</v>
      </c>
      <c r="G425">
        <v>291042</v>
      </c>
    </row>
    <row r="426" spans="1:7" x14ac:dyDescent="0.2">
      <c r="A426">
        <v>29005</v>
      </c>
      <c r="B426" t="s">
        <v>3122</v>
      </c>
      <c r="C426">
        <v>-0.10623370110988617</v>
      </c>
      <c r="D426">
        <v>-0.19349974393844604</v>
      </c>
      <c r="E426">
        <v>0.55872505903244019</v>
      </c>
      <c r="F426">
        <v>12.575416564941406</v>
      </c>
      <c r="G426">
        <v>289357</v>
      </c>
    </row>
    <row r="427" spans="1:7" x14ac:dyDescent="0.2">
      <c r="A427">
        <v>12302</v>
      </c>
      <c r="B427" t="s">
        <v>3125</v>
      </c>
      <c r="C427">
        <v>-0.12344793975353241</v>
      </c>
      <c r="D427">
        <v>-0.21916386485099792</v>
      </c>
      <c r="E427">
        <v>0.51113373041152954</v>
      </c>
      <c r="F427">
        <v>12.571181297302246</v>
      </c>
      <c r="G427">
        <v>288134</v>
      </c>
    </row>
    <row r="428" spans="1:7" x14ac:dyDescent="0.2">
      <c r="A428">
        <v>9002</v>
      </c>
      <c r="B428" t="s">
        <v>3120</v>
      </c>
      <c r="C428">
        <v>-8.4488943219184875E-2</v>
      </c>
      <c r="D428">
        <v>-0.16613020002841949</v>
      </c>
      <c r="E428">
        <v>0.46851995587348938</v>
      </c>
      <c r="F428">
        <v>12.568313598632812</v>
      </c>
      <c r="G428">
        <v>287309</v>
      </c>
    </row>
    <row r="429" spans="1:7" x14ac:dyDescent="0.2">
      <c r="A429">
        <v>4601</v>
      </c>
      <c r="B429" t="s">
        <v>3128</v>
      </c>
      <c r="C429">
        <v>-0.16729696094989777</v>
      </c>
      <c r="D429">
        <v>-0.28244221210479736</v>
      </c>
      <c r="E429">
        <v>0.4525582492351532</v>
      </c>
      <c r="F429">
        <v>12.564900398254395</v>
      </c>
      <c r="G429">
        <v>286330</v>
      </c>
    </row>
    <row r="430" spans="1:7" x14ac:dyDescent="0.2">
      <c r="A430">
        <v>29104</v>
      </c>
      <c r="B430" t="s">
        <v>3129</v>
      </c>
      <c r="C430">
        <v>-0.11569477617740631</v>
      </c>
      <c r="D430">
        <v>-0.20821450650691986</v>
      </c>
      <c r="E430">
        <v>0.51883029937744141</v>
      </c>
      <c r="F430">
        <v>12.561524391174316</v>
      </c>
      <c r="G430">
        <v>285365</v>
      </c>
    </row>
    <row r="431" spans="1:7" x14ac:dyDescent="0.2">
      <c r="A431">
        <v>26902</v>
      </c>
      <c r="B431" t="s">
        <v>3124</v>
      </c>
      <c r="C431">
        <v>-7.2871565818786621E-2</v>
      </c>
      <c r="D431">
        <v>-0.14716546237468719</v>
      </c>
      <c r="E431">
        <v>0.55882042646408081</v>
      </c>
      <c r="F431">
        <v>12.55421257019043</v>
      </c>
      <c r="G431">
        <v>283286</v>
      </c>
    </row>
    <row r="432" spans="1:7" x14ac:dyDescent="0.2">
      <c r="A432">
        <v>13103</v>
      </c>
      <c r="B432" t="s">
        <v>3130</v>
      </c>
      <c r="C432">
        <v>-7.5575470924377441E-2</v>
      </c>
      <c r="D432">
        <v>-0.15420903265476227</v>
      </c>
      <c r="E432">
        <v>0.46164220571517944</v>
      </c>
      <c r="F432">
        <v>12.54615306854248</v>
      </c>
      <c r="G432">
        <v>281012</v>
      </c>
    </row>
    <row r="433" spans="1:7" x14ac:dyDescent="0.2">
      <c r="A433">
        <v>34702</v>
      </c>
      <c r="B433" t="s">
        <v>3126</v>
      </c>
      <c r="C433">
        <v>6.3066773116588593E-2</v>
      </c>
      <c r="D433">
        <v>4.2225431650876999E-2</v>
      </c>
      <c r="E433">
        <v>0.54453766345977783</v>
      </c>
      <c r="F433">
        <v>12.54322338104248</v>
      </c>
      <c r="G433">
        <v>280190</v>
      </c>
    </row>
    <row r="434" spans="1:7" x14ac:dyDescent="0.2">
      <c r="A434">
        <v>4103</v>
      </c>
      <c r="B434" t="s">
        <v>3132</v>
      </c>
      <c r="C434">
        <v>-7.4587181210517883E-2</v>
      </c>
      <c r="D434">
        <v>-0.15222978591918945</v>
      </c>
      <c r="E434">
        <v>0.49410295486450195</v>
      </c>
      <c r="F434">
        <v>12.514182090759277</v>
      </c>
      <c r="G434">
        <v>272170</v>
      </c>
    </row>
    <row r="435" spans="1:7" x14ac:dyDescent="0.2">
      <c r="A435">
        <v>22602</v>
      </c>
      <c r="B435" t="s">
        <v>3135</v>
      </c>
      <c r="C435">
        <v>-5.092567577958107E-2</v>
      </c>
      <c r="D435">
        <v>-0.11905861645936966</v>
      </c>
      <c r="E435">
        <v>0.50304824113845825</v>
      </c>
      <c r="F435">
        <v>12.500669479370117</v>
      </c>
      <c r="G435">
        <v>268517</v>
      </c>
    </row>
    <row r="436" spans="1:7" x14ac:dyDescent="0.2">
      <c r="A436">
        <v>21004</v>
      </c>
      <c r="B436" t="s">
        <v>3131</v>
      </c>
      <c r="C436">
        <v>-8.2698598504066467E-2</v>
      </c>
      <c r="D436">
        <v>-0.16241574287414551</v>
      </c>
      <c r="E436">
        <v>0.53728294372558594</v>
      </c>
      <c r="F436">
        <v>12.496755599975586</v>
      </c>
      <c r="G436">
        <v>267468</v>
      </c>
    </row>
    <row r="437" spans="1:7" x14ac:dyDescent="0.2">
      <c r="A437">
        <v>38902</v>
      </c>
      <c r="B437" t="s">
        <v>3136</v>
      </c>
      <c r="C437">
        <v>-4.4496405869722366E-2</v>
      </c>
      <c r="D437">
        <v>-0.11013554036617279</v>
      </c>
      <c r="E437">
        <v>0.51310396194458008</v>
      </c>
      <c r="F437">
        <v>12.473259925842285</v>
      </c>
      <c r="G437">
        <v>261257</v>
      </c>
    </row>
    <row r="438" spans="1:7" x14ac:dyDescent="0.2">
      <c r="A438">
        <v>11102</v>
      </c>
      <c r="B438" t="s">
        <v>3140</v>
      </c>
      <c r="C438">
        <v>-8.0393388867378235E-2</v>
      </c>
      <c r="D438">
        <v>-0.1601313054561615</v>
      </c>
      <c r="E438">
        <v>0.52011030912399292</v>
      </c>
      <c r="F438">
        <v>12.469931602478027</v>
      </c>
      <c r="G438">
        <v>260389</v>
      </c>
    </row>
    <row r="439" spans="1:7" x14ac:dyDescent="0.2">
      <c r="A439">
        <v>37601</v>
      </c>
      <c r="B439" t="s">
        <v>3138</v>
      </c>
      <c r="C439">
        <v>7.0039667189121246E-2</v>
      </c>
      <c r="D439">
        <v>4.673246294260025E-2</v>
      </c>
      <c r="E439">
        <v>0.41536882519721985</v>
      </c>
      <c r="F439">
        <v>12.469113349914551</v>
      </c>
      <c r="G439">
        <v>260176</v>
      </c>
    </row>
    <row r="440" spans="1:7" x14ac:dyDescent="0.2">
      <c r="A440">
        <v>21801</v>
      </c>
      <c r="B440" t="s">
        <v>3134</v>
      </c>
      <c r="C440">
        <v>-9.2639639973640442E-2</v>
      </c>
      <c r="D440">
        <v>-0.17576666176319122</v>
      </c>
      <c r="E440">
        <v>0.56695300340652466</v>
      </c>
      <c r="F440">
        <v>12.467386245727539</v>
      </c>
      <c r="G440">
        <v>259727</v>
      </c>
    </row>
    <row r="441" spans="1:7" x14ac:dyDescent="0.2">
      <c r="A441">
        <v>35902</v>
      </c>
      <c r="B441" t="s">
        <v>3137</v>
      </c>
      <c r="C441">
        <v>-3.3153001219034195E-2</v>
      </c>
      <c r="D441">
        <v>-9.3069709837436676E-2</v>
      </c>
      <c r="E441">
        <v>0.55412954092025757</v>
      </c>
      <c r="F441">
        <v>12.464864730834961</v>
      </c>
      <c r="G441">
        <v>259073</v>
      </c>
    </row>
    <row r="442" spans="1:7" x14ac:dyDescent="0.2">
      <c r="A442">
        <v>12401</v>
      </c>
      <c r="B442" t="s">
        <v>3143</v>
      </c>
      <c r="C442">
        <v>-0.14140044152736664</v>
      </c>
      <c r="D442">
        <v>-0.24645949900150299</v>
      </c>
      <c r="E442">
        <v>0.49330750107765198</v>
      </c>
      <c r="F442">
        <v>12.456847190856934</v>
      </c>
      <c r="G442">
        <v>257004</v>
      </c>
    </row>
    <row r="443" spans="1:7" x14ac:dyDescent="0.2">
      <c r="A443">
        <v>25103</v>
      </c>
      <c r="B443" t="s">
        <v>3147</v>
      </c>
      <c r="C443">
        <v>-0.16172899305820465</v>
      </c>
      <c r="D443">
        <v>-0.27653849124908447</v>
      </c>
      <c r="E443">
        <v>0.44844701886177063</v>
      </c>
      <c r="F443">
        <v>12.442033767700195</v>
      </c>
      <c r="G443">
        <v>253225</v>
      </c>
    </row>
    <row r="444" spans="1:7" x14ac:dyDescent="0.2">
      <c r="A444">
        <v>21802</v>
      </c>
      <c r="B444" t="s">
        <v>3139</v>
      </c>
      <c r="C444">
        <v>-9.7247704863548279E-2</v>
      </c>
      <c r="D444">
        <v>-0.18215851485729218</v>
      </c>
      <c r="E444">
        <v>0.58427333831787109</v>
      </c>
      <c r="F444">
        <v>12.431333541870117</v>
      </c>
      <c r="G444">
        <v>250530</v>
      </c>
    </row>
    <row r="445" spans="1:7" x14ac:dyDescent="0.2">
      <c r="A445">
        <v>30904</v>
      </c>
      <c r="B445" t="s">
        <v>3142</v>
      </c>
      <c r="C445">
        <v>-1.6803387552499771E-2</v>
      </c>
      <c r="D445">
        <v>-7.5347676873207092E-2</v>
      </c>
      <c r="E445">
        <v>0.41097941994667053</v>
      </c>
      <c r="F445">
        <v>12.43028736114502</v>
      </c>
      <c r="G445">
        <v>250268</v>
      </c>
    </row>
    <row r="446" spans="1:7" x14ac:dyDescent="0.2">
      <c r="A446">
        <v>25702</v>
      </c>
      <c r="B446" t="s">
        <v>3141</v>
      </c>
      <c r="C446">
        <v>-0.15860112011432648</v>
      </c>
      <c r="D446">
        <v>-0.27385583519935608</v>
      </c>
      <c r="E446">
        <v>0.4038073718547821</v>
      </c>
      <c r="F446">
        <v>12.424959182739258</v>
      </c>
      <c r="G446">
        <v>248938</v>
      </c>
    </row>
    <row r="447" spans="1:7" x14ac:dyDescent="0.2">
      <c r="A447">
        <v>21102</v>
      </c>
      <c r="B447" t="s">
        <v>3133</v>
      </c>
      <c r="C447">
        <v>-3.7488061934709549E-2</v>
      </c>
      <c r="D447">
        <v>-0.10004261881113052</v>
      </c>
      <c r="E447">
        <v>0.54578828811645508</v>
      </c>
      <c r="F447">
        <v>12.419597625732422</v>
      </c>
      <c r="G447">
        <v>247607</v>
      </c>
    </row>
    <row r="448" spans="1:7" x14ac:dyDescent="0.2">
      <c r="A448">
        <v>33901</v>
      </c>
      <c r="B448" t="s">
        <v>3148</v>
      </c>
      <c r="C448">
        <v>-9.8310902714729309E-2</v>
      </c>
      <c r="D448">
        <v>-0.18709412217140198</v>
      </c>
      <c r="E448">
        <v>0.48413115739822388</v>
      </c>
      <c r="F448">
        <v>12.416989326477051</v>
      </c>
      <c r="G448">
        <v>246962</v>
      </c>
    </row>
    <row r="449" spans="1:7" x14ac:dyDescent="0.2">
      <c r="A449">
        <v>34404</v>
      </c>
      <c r="B449" t="s">
        <v>3110</v>
      </c>
      <c r="C449">
        <v>-8.5760310292243958E-2</v>
      </c>
      <c r="D449">
        <v>-0.16622655093669891</v>
      </c>
      <c r="E449">
        <v>0.58915191888809204</v>
      </c>
      <c r="F449">
        <v>12.411426544189453</v>
      </c>
      <c r="G449">
        <v>245592</v>
      </c>
    </row>
    <row r="450" spans="1:7" x14ac:dyDescent="0.2">
      <c r="A450">
        <v>26605</v>
      </c>
      <c r="B450" t="s">
        <v>3144</v>
      </c>
      <c r="C450">
        <v>-0.11103422939777374</v>
      </c>
      <c r="D450">
        <v>-0.20197446644306183</v>
      </c>
      <c r="E450">
        <v>0.57658904790878296</v>
      </c>
      <c r="F450">
        <v>12.41046142578125</v>
      </c>
      <c r="G450">
        <v>245355</v>
      </c>
    </row>
    <row r="451" spans="1:7" x14ac:dyDescent="0.2">
      <c r="A451">
        <v>4003</v>
      </c>
      <c r="B451" t="s">
        <v>3149</v>
      </c>
      <c r="C451">
        <v>-8.6368575692176819E-2</v>
      </c>
      <c r="D451">
        <v>-0.17190788686275482</v>
      </c>
      <c r="E451">
        <v>0.44058322906494141</v>
      </c>
      <c r="F451">
        <v>12.410310745239258</v>
      </c>
      <c r="G451">
        <v>245318</v>
      </c>
    </row>
    <row r="452" spans="1:7" x14ac:dyDescent="0.2">
      <c r="A452">
        <v>38802</v>
      </c>
      <c r="B452" t="s">
        <v>3155</v>
      </c>
      <c r="C452">
        <v>-3.8313273340463638E-2</v>
      </c>
      <c r="D452">
        <v>-0.10359961539506912</v>
      </c>
      <c r="E452">
        <v>0.47771444916725159</v>
      </c>
      <c r="F452">
        <v>12.405717849731445</v>
      </c>
      <c r="G452">
        <v>244194</v>
      </c>
    </row>
    <row r="453" spans="1:7" x14ac:dyDescent="0.2">
      <c r="A453">
        <v>9003</v>
      </c>
      <c r="B453" t="s">
        <v>3150</v>
      </c>
      <c r="C453">
        <v>-7.735230028629303E-2</v>
      </c>
      <c r="D453">
        <v>-0.15928663313388824</v>
      </c>
      <c r="E453">
        <v>0.44684603810310364</v>
      </c>
      <c r="F453">
        <v>12.397333145141602</v>
      </c>
      <c r="G453">
        <v>242155</v>
      </c>
    </row>
    <row r="454" spans="1:7" x14ac:dyDescent="0.2">
      <c r="A454">
        <v>27701</v>
      </c>
      <c r="B454" t="s">
        <v>3154</v>
      </c>
      <c r="C454">
        <v>-0.10779424011707306</v>
      </c>
      <c r="D454">
        <v>-0.1986381858587265</v>
      </c>
      <c r="E454">
        <v>0.5477333664894104</v>
      </c>
      <c r="F454">
        <v>12.392356872558594</v>
      </c>
      <c r="G454">
        <v>240953</v>
      </c>
    </row>
    <row r="455" spans="1:7" x14ac:dyDescent="0.2">
      <c r="A455">
        <v>27301</v>
      </c>
      <c r="B455" t="s">
        <v>3157</v>
      </c>
      <c r="C455">
        <v>-7.5555816292762756E-2</v>
      </c>
      <c r="D455">
        <v>-0.15332648158073425</v>
      </c>
      <c r="E455">
        <v>0.55661159753799438</v>
      </c>
      <c r="F455">
        <v>12.389697074890137</v>
      </c>
      <c r="G455">
        <v>240313</v>
      </c>
    </row>
    <row r="456" spans="1:7" x14ac:dyDescent="0.2">
      <c r="A456">
        <v>27802</v>
      </c>
      <c r="B456" t="s">
        <v>3161</v>
      </c>
      <c r="C456">
        <v>-6.8315491080284119E-2</v>
      </c>
      <c r="D456">
        <v>-0.14438618719577789</v>
      </c>
      <c r="E456">
        <v>0.52097630500793457</v>
      </c>
      <c r="F456">
        <v>12.387935638427734</v>
      </c>
      <c r="G456">
        <v>239890</v>
      </c>
    </row>
    <row r="457" spans="1:7" x14ac:dyDescent="0.2">
      <c r="A457">
        <v>11203</v>
      </c>
      <c r="B457" t="s">
        <v>3145</v>
      </c>
      <c r="C457">
        <v>-0.10949419438838959</v>
      </c>
      <c r="D457">
        <v>-0.20311132073402405</v>
      </c>
      <c r="E457">
        <v>0.48523843288421631</v>
      </c>
      <c r="F457">
        <v>12.387327194213867</v>
      </c>
      <c r="G457">
        <v>239744</v>
      </c>
    </row>
    <row r="458" spans="1:7" x14ac:dyDescent="0.2">
      <c r="A458">
        <v>1301</v>
      </c>
      <c r="B458" t="s">
        <v>3151</v>
      </c>
      <c r="C458">
        <v>-6.8706199526786804E-2</v>
      </c>
      <c r="D458">
        <v>-0.14663170278072357</v>
      </c>
      <c r="E458">
        <v>0.4702460765838623</v>
      </c>
      <c r="F458">
        <v>12.384051322937012</v>
      </c>
      <c r="G458">
        <v>238960</v>
      </c>
    </row>
    <row r="459" spans="1:7" x14ac:dyDescent="0.2">
      <c r="A459">
        <v>1702</v>
      </c>
      <c r="B459" t="s">
        <v>3146</v>
      </c>
      <c r="C459">
        <v>-5.7950083166360855E-2</v>
      </c>
      <c r="D459">
        <v>-0.1311432421207428</v>
      </c>
      <c r="E459">
        <v>0.49194639921188354</v>
      </c>
      <c r="F459">
        <v>12.366497993469238</v>
      </c>
      <c r="G459">
        <v>234802</v>
      </c>
    </row>
    <row r="460" spans="1:7" x14ac:dyDescent="0.2">
      <c r="A460">
        <v>28608</v>
      </c>
      <c r="B460" t="s">
        <v>3156</v>
      </c>
      <c r="C460">
        <v>-0.10812921822071075</v>
      </c>
      <c r="D460">
        <v>-0.1980050802230835</v>
      </c>
      <c r="E460">
        <v>0.59556496143341064</v>
      </c>
      <c r="F460">
        <v>12.360761642456055</v>
      </c>
      <c r="G460">
        <v>233459</v>
      </c>
    </row>
    <row r="461" spans="1:7" x14ac:dyDescent="0.2">
      <c r="A461">
        <v>20003</v>
      </c>
      <c r="B461" t="s">
        <v>3152</v>
      </c>
      <c r="C461">
        <v>-0.12384240329265594</v>
      </c>
      <c r="D461">
        <v>-0.22237525880336761</v>
      </c>
      <c r="E461">
        <v>0.52357107400894165</v>
      </c>
      <c r="F461">
        <v>12.3555908203125</v>
      </c>
      <c r="G461">
        <v>232255</v>
      </c>
    </row>
    <row r="462" spans="1:7" x14ac:dyDescent="0.2">
      <c r="A462">
        <v>5201</v>
      </c>
      <c r="B462" t="s">
        <v>3159</v>
      </c>
      <c r="C462">
        <v>-9.2930272221565247E-2</v>
      </c>
      <c r="D462">
        <v>-0.17958329617977142</v>
      </c>
      <c r="E462">
        <v>0.51090598106384277</v>
      </c>
      <c r="F462">
        <v>12.355207443237305</v>
      </c>
      <c r="G462">
        <v>232166</v>
      </c>
    </row>
    <row r="463" spans="1:7" x14ac:dyDescent="0.2">
      <c r="A463">
        <v>27201</v>
      </c>
      <c r="B463" t="s">
        <v>3153</v>
      </c>
      <c r="C463">
        <v>-9.2963621020317078E-2</v>
      </c>
      <c r="D463">
        <v>-0.17722518742084503</v>
      </c>
      <c r="E463">
        <v>0.59136033058166504</v>
      </c>
      <c r="F463">
        <v>12.340927124023438</v>
      </c>
      <c r="G463">
        <v>228874</v>
      </c>
    </row>
    <row r="464" spans="1:7" x14ac:dyDescent="0.2">
      <c r="A464">
        <v>33801</v>
      </c>
      <c r="B464" t="s">
        <v>3168</v>
      </c>
      <c r="C464">
        <v>-9.9298909306526184E-2</v>
      </c>
      <c r="D464">
        <v>-0.18947002291679382</v>
      </c>
      <c r="E464">
        <v>0.49444437026977539</v>
      </c>
      <c r="F464">
        <v>12.323442459106445</v>
      </c>
      <c r="G464">
        <v>224907</v>
      </c>
    </row>
    <row r="465" spans="1:7" x14ac:dyDescent="0.2">
      <c r="A465">
        <v>8201</v>
      </c>
      <c r="B465" t="s">
        <v>3158</v>
      </c>
      <c r="C465">
        <v>-9.8447397351264954E-2</v>
      </c>
      <c r="D465">
        <v>-0.18841643631458282</v>
      </c>
      <c r="E465">
        <v>0.49927377700805664</v>
      </c>
      <c r="F465">
        <v>12.30280876159668</v>
      </c>
      <c r="G465">
        <v>220314</v>
      </c>
    </row>
    <row r="466" spans="1:7" x14ac:dyDescent="0.2">
      <c r="A466">
        <v>32701</v>
      </c>
      <c r="B466" t="s">
        <v>3164</v>
      </c>
      <c r="C466">
        <v>-6.8803206086158752E-2</v>
      </c>
      <c r="D466">
        <v>-0.14873698353767395</v>
      </c>
      <c r="E466">
        <v>0.4506373405456543</v>
      </c>
      <c r="F466">
        <v>12.290151596069336</v>
      </c>
      <c r="G466">
        <v>217543</v>
      </c>
    </row>
    <row r="467" spans="1:7" x14ac:dyDescent="0.2">
      <c r="A467">
        <v>9702</v>
      </c>
      <c r="B467" t="s">
        <v>3178</v>
      </c>
      <c r="C467">
        <v>-9.2232659459114075E-2</v>
      </c>
      <c r="D467">
        <v>-0.18038871884346008</v>
      </c>
      <c r="E467">
        <v>0.48591113090515137</v>
      </c>
      <c r="F467">
        <v>12.286906242370605</v>
      </c>
      <c r="G467">
        <v>216838</v>
      </c>
    </row>
    <row r="468" spans="1:7" x14ac:dyDescent="0.2">
      <c r="A468">
        <v>602</v>
      </c>
      <c r="B468" t="s">
        <v>3172</v>
      </c>
      <c r="C468">
        <v>-0.12952972948551178</v>
      </c>
      <c r="D468">
        <v>-0.23361837863922119</v>
      </c>
      <c r="E468">
        <v>0.45929056406021118</v>
      </c>
      <c r="F468">
        <v>12.270417213439941</v>
      </c>
      <c r="G468">
        <v>213292</v>
      </c>
    </row>
    <row r="469" spans="1:7" x14ac:dyDescent="0.2">
      <c r="A469">
        <v>25105</v>
      </c>
      <c r="B469" t="s">
        <v>3180</v>
      </c>
      <c r="C469">
        <v>-0.17282624542713165</v>
      </c>
      <c r="D469">
        <v>-0.29500836133956909</v>
      </c>
      <c r="E469">
        <v>0.4368283748626709</v>
      </c>
      <c r="F469">
        <v>12.260310173034668</v>
      </c>
      <c r="G469">
        <v>211147</v>
      </c>
    </row>
    <row r="470" spans="1:7" x14ac:dyDescent="0.2">
      <c r="A470">
        <v>1204</v>
      </c>
      <c r="B470" t="s">
        <v>3167</v>
      </c>
      <c r="C470">
        <v>-0.12027086317539215</v>
      </c>
      <c r="D470">
        <v>-0.21948496997356415</v>
      </c>
      <c r="E470">
        <v>0.50087934732437134</v>
      </c>
      <c r="F470">
        <v>12.259419441223145</v>
      </c>
      <c r="G470">
        <v>210959</v>
      </c>
    </row>
    <row r="471" spans="1:7" x14ac:dyDescent="0.2">
      <c r="A471">
        <v>1202</v>
      </c>
      <c r="B471" t="s">
        <v>3176</v>
      </c>
      <c r="C471">
        <v>-0.11958454549312592</v>
      </c>
      <c r="D471">
        <v>-0.21647097170352936</v>
      </c>
      <c r="E471">
        <v>0.56663346290588379</v>
      </c>
      <c r="F471">
        <v>12.25403881072998</v>
      </c>
      <c r="G471">
        <v>209827</v>
      </c>
    </row>
    <row r="472" spans="1:7" x14ac:dyDescent="0.2">
      <c r="A472">
        <v>10102</v>
      </c>
      <c r="B472" t="s">
        <v>3160</v>
      </c>
      <c r="C472">
        <v>-7.6271966099739075E-2</v>
      </c>
      <c r="D472">
        <v>-0.16012927889823914</v>
      </c>
      <c r="E472">
        <v>0.43757903575897217</v>
      </c>
      <c r="F472">
        <v>12.252884864807129</v>
      </c>
      <c r="G472">
        <v>209585</v>
      </c>
    </row>
    <row r="473" spans="1:7" x14ac:dyDescent="0.2">
      <c r="A473">
        <v>35802</v>
      </c>
      <c r="B473" t="s">
        <v>3163</v>
      </c>
      <c r="C473">
        <v>-5.5859912186861038E-2</v>
      </c>
      <c r="D473">
        <v>-0.1290740966796875</v>
      </c>
      <c r="E473">
        <v>0.51751679182052612</v>
      </c>
      <c r="F473">
        <v>12.248173713684082</v>
      </c>
      <c r="G473">
        <v>208600</v>
      </c>
    </row>
    <row r="474" spans="1:7" x14ac:dyDescent="0.2">
      <c r="A474">
        <v>26504</v>
      </c>
      <c r="B474" t="s">
        <v>3181</v>
      </c>
      <c r="C474">
        <v>-9.016592800617218E-2</v>
      </c>
      <c r="D474">
        <v>-0.17485231161117554</v>
      </c>
      <c r="E474">
        <v>0.58765202760696411</v>
      </c>
      <c r="F474">
        <v>12.241164207458496</v>
      </c>
      <c r="G474">
        <v>207143</v>
      </c>
    </row>
    <row r="475" spans="1:7" x14ac:dyDescent="0.2">
      <c r="A475">
        <v>3203</v>
      </c>
      <c r="B475" t="s">
        <v>3174</v>
      </c>
      <c r="C475">
        <v>-3.1327042728662491E-2</v>
      </c>
      <c r="D475">
        <v>-9.4180196523666382E-2</v>
      </c>
      <c r="E475">
        <v>0.54005146026611328</v>
      </c>
      <c r="F475">
        <v>12.239188194274902</v>
      </c>
      <c r="G475">
        <v>206734</v>
      </c>
    </row>
    <row r="476" spans="1:7" x14ac:dyDescent="0.2">
      <c r="A476">
        <v>27801</v>
      </c>
      <c r="B476" t="s">
        <v>3165</v>
      </c>
      <c r="C476">
        <v>-7.4990928173065186E-2</v>
      </c>
      <c r="D476">
        <v>-0.15538758039474487</v>
      </c>
      <c r="E476">
        <v>0.53541767597198486</v>
      </c>
      <c r="F476">
        <v>12.237406730651855</v>
      </c>
      <c r="G476">
        <v>206366</v>
      </c>
    </row>
    <row r="477" spans="1:7" x14ac:dyDescent="0.2">
      <c r="A477">
        <v>26101</v>
      </c>
      <c r="B477" t="s">
        <v>3191</v>
      </c>
      <c r="C477">
        <v>-0.12243382632732391</v>
      </c>
      <c r="D477">
        <v>-0.2240445464849472</v>
      </c>
      <c r="E477">
        <v>0.46382707357406616</v>
      </c>
      <c r="F477">
        <v>12.23581600189209</v>
      </c>
      <c r="G477">
        <v>206038</v>
      </c>
    </row>
    <row r="478" spans="1:7" x14ac:dyDescent="0.2">
      <c r="A478">
        <v>29402</v>
      </c>
      <c r="B478" t="s">
        <v>3169</v>
      </c>
      <c r="C478">
        <v>-0.10124750435352325</v>
      </c>
      <c r="D478">
        <v>-0.19164131581783295</v>
      </c>
      <c r="E478">
        <v>0.55121970176696777</v>
      </c>
      <c r="F478">
        <v>12.232807159423828</v>
      </c>
      <c r="G478">
        <v>205419</v>
      </c>
    </row>
    <row r="479" spans="1:7" x14ac:dyDescent="0.2">
      <c r="A479">
        <v>4701</v>
      </c>
      <c r="B479" t="s">
        <v>3179</v>
      </c>
      <c r="C479">
        <v>-0.12441079318523407</v>
      </c>
      <c r="D479">
        <v>-0.22572484612464905</v>
      </c>
      <c r="E479">
        <v>0.49923697113990784</v>
      </c>
      <c r="F479">
        <v>12.231267929077148</v>
      </c>
      <c r="G479">
        <v>205103</v>
      </c>
    </row>
    <row r="480" spans="1:7" x14ac:dyDescent="0.2">
      <c r="A480">
        <v>14802</v>
      </c>
      <c r="B480" t="s">
        <v>3173</v>
      </c>
      <c r="C480">
        <v>-6.2194455415010452E-2</v>
      </c>
      <c r="D480">
        <v>-0.1395871639251709</v>
      </c>
      <c r="E480">
        <v>0.47532832622528076</v>
      </c>
      <c r="F480">
        <v>12.227658271789551</v>
      </c>
      <c r="G480">
        <v>204364</v>
      </c>
    </row>
    <row r="481" spans="1:7" x14ac:dyDescent="0.2">
      <c r="A481">
        <v>11303</v>
      </c>
      <c r="B481" t="s">
        <v>3166</v>
      </c>
      <c r="C481">
        <v>1.2588676065206528E-2</v>
      </c>
      <c r="D481">
        <v>-3.4738458693027496E-2</v>
      </c>
      <c r="E481">
        <v>0.48600366711616516</v>
      </c>
      <c r="F481">
        <v>12.225787162780762</v>
      </c>
      <c r="G481">
        <v>203982</v>
      </c>
    </row>
    <row r="482" spans="1:7" x14ac:dyDescent="0.2">
      <c r="A482">
        <v>25101</v>
      </c>
      <c r="B482" t="s">
        <v>3162</v>
      </c>
      <c r="C482">
        <v>-0.14321278035640717</v>
      </c>
      <c r="D482">
        <v>-0.25492292642593384</v>
      </c>
      <c r="E482">
        <v>0.41236698627471924</v>
      </c>
      <c r="F482">
        <v>12.224103927612305</v>
      </c>
      <c r="G482">
        <v>203639</v>
      </c>
    </row>
    <row r="483" spans="1:7" x14ac:dyDescent="0.2">
      <c r="A483">
        <v>34601</v>
      </c>
      <c r="B483" t="s">
        <v>3177</v>
      </c>
      <c r="C483">
        <v>-1.5189502388238907E-2</v>
      </c>
      <c r="D483">
        <v>-7.1120187640190125E-2</v>
      </c>
      <c r="E483">
        <v>0.56444227695465088</v>
      </c>
      <c r="F483">
        <v>12.218988418579102</v>
      </c>
      <c r="G483">
        <v>202600</v>
      </c>
    </row>
    <row r="484" spans="1:7" x14ac:dyDescent="0.2">
      <c r="A484">
        <v>16701</v>
      </c>
      <c r="B484" t="s">
        <v>3171</v>
      </c>
      <c r="C484">
        <v>-0.12879814207553864</v>
      </c>
      <c r="D484">
        <v>-0.23541638255119324</v>
      </c>
      <c r="E484">
        <v>0.39720195531845093</v>
      </c>
      <c r="F484">
        <v>12.213529586791992</v>
      </c>
      <c r="G484">
        <v>201497</v>
      </c>
    </row>
    <row r="485" spans="1:7" x14ac:dyDescent="0.2">
      <c r="A485">
        <v>26501</v>
      </c>
      <c r="B485" t="s">
        <v>3175</v>
      </c>
      <c r="C485">
        <v>-9.732230007648468E-2</v>
      </c>
      <c r="D485">
        <v>-0.1851474940776825</v>
      </c>
      <c r="E485">
        <v>0.59101086854934692</v>
      </c>
      <c r="F485">
        <v>12.212934494018555</v>
      </c>
      <c r="G485">
        <v>201377</v>
      </c>
    </row>
    <row r="486" spans="1:7" x14ac:dyDescent="0.2">
      <c r="A486">
        <v>12002</v>
      </c>
      <c r="B486" t="s">
        <v>3185</v>
      </c>
      <c r="C486">
        <v>-9.532184898853302E-2</v>
      </c>
      <c r="D486">
        <v>-0.18501362204551697</v>
      </c>
      <c r="E486">
        <v>0.51301372051239014</v>
      </c>
      <c r="F486">
        <v>12.203478813171387</v>
      </c>
      <c r="G486">
        <v>199482</v>
      </c>
    </row>
    <row r="487" spans="1:7" x14ac:dyDescent="0.2">
      <c r="A487">
        <v>28609</v>
      </c>
      <c r="B487" t="s">
        <v>3188</v>
      </c>
      <c r="C487">
        <v>-6.9752305746078491E-2</v>
      </c>
      <c r="D487">
        <v>-0.14871208369731903</v>
      </c>
      <c r="E487">
        <v>0.53374052047729492</v>
      </c>
      <c r="F487">
        <v>12.195704460144043</v>
      </c>
      <c r="G487">
        <v>197937</v>
      </c>
    </row>
    <row r="488" spans="1:7" x14ac:dyDescent="0.2">
      <c r="A488">
        <v>26102</v>
      </c>
      <c r="B488" t="s">
        <v>3194</v>
      </c>
      <c r="C488">
        <v>-0.11121462285518646</v>
      </c>
      <c r="D488">
        <v>-0.20846331119537354</v>
      </c>
      <c r="E488">
        <v>0.47939446568489075</v>
      </c>
      <c r="F488">
        <v>12.193225860595703</v>
      </c>
      <c r="G488">
        <v>197447</v>
      </c>
    </row>
    <row r="489" spans="1:7" x14ac:dyDescent="0.2">
      <c r="A489">
        <v>11403</v>
      </c>
      <c r="B489" t="s">
        <v>3182</v>
      </c>
      <c r="C489">
        <v>-0.10268540680408478</v>
      </c>
      <c r="D489">
        <v>-0.19497774541378021</v>
      </c>
      <c r="E489">
        <v>0.52779436111450195</v>
      </c>
      <c r="F489">
        <v>12.192875862121582</v>
      </c>
      <c r="G489">
        <v>197378</v>
      </c>
    </row>
    <row r="490" spans="1:7" x14ac:dyDescent="0.2">
      <c r="A490">
        <v>34303</v>
      </c>
      <c r="B490" t="s">
        <v>3202</v>
      </c>
      <c r="C490">
        <v>-1.3309720903635025E-2</v>
      </c>
      <c r="D490">
        <v>-7.0098400115966797E-2</v>
      </c>
      <c r="E490">
        <v>0.52783286571502686</v>
      </c>
      <c r="F490">
        <v>12.189485549926758</v>
      </c>
      <c r="G490">
        <v>196710</v>
      </c>
    </row>
    <row r="491" spans="1:7" x14ac:dyDescent="0.2">
      <c r="A491">
        <v>27005</v>
      </c>
      <c r="B491" t="s">
        <v>3192</v>
      </c>
      <c r="C491">
        <v>-6.1390656977891922E-2</v>
      </c>
      <c r="D491">
        <v>-0.13539884984493256</v>
      </c>
      <c r="E491">
        <v>0.58766728639602661</v>
      </c>
      <c r="F491">
        <v>12.187104225158691</v>
      </c>
      <c r="G491">
        <v>196242</v>
      </c>
    </row>
    <row r="492" spans="1:7" x14ac:dyDescent="0.2">
      <c r="A492">
        <v>34304</v>
      </c>
      <c r="B492" t="s">
        <v>3183</v>
      </c>
      <c r="C492">
        <v>-1.1300135403871536E-2</v>
      </c>
      <c r="D492">
        <v>-6.746673583984375E-2</v>
      </c>
      <c r="E492">
        <v>0.52706682682037354</v>
      </c>
      <c r="F492">
        <v>12.178757667541504</v>
      </c>
      <c r="G492">
        <v>194611</v>
      </c>
    </row>
    <row r="493" spans="1:7" x14ac:dyDescent="0.2">
      <c r="A493">
        <v>27202</v>
      </c>
      <c r="B493" t="s">
        <v>3170</v>
      </c>
      <c r="C493">
        <v>-6.3233539462089539E-2</v>
      </c>
      <c r="D493">
        <v>-0.14001275599002838</v>
      </c>
      <c r="E493">
        <v>0.5285564661026001</v>
      </c>
      <c r="F493">
        <v>12.178505897521973</v>
      </c>
      <c r="G493">
        <v>194562</v>
      </c>
    </row>
    <row r="494" spans="1:7" x14ac:dyDescent="0.2">
      <c r="A494">
        <v>31202</v>
      </c>
      <c r="B494" t="s">
        <v>3193</v>
      </c>
      <c r="C494">
        <v>-6.0734692960977554E-2</v>
      </c>
      <c r="D494">
        <v>-0.13872747123241425</v>
      </c>
      <c r="E494">
        <v>0.46280688047409058</v>
      </c>
      <c r="F494">
        <v>12.173120498657227</v>
      </c>
      <c r="G494">
        <v>193517</v>
      </c>
    </row>
    <row r="495" spans="1:7" x14ac:dyDescent="0.2">
      <c r="A495">
        <v>13102</v>
      </c>
      <c r="B495" t="s">
        <v>3195</v>
      </c>
      <c r="C495">
        <v>-4.0766749531030655E-2</v>
      </c>
      <c r="D495">
        <v>-0.1113576665520668</v>
      </c>
      <c r="E495">
        <v>0.45115965604782104</v>
      </c>
      <c r="F495">
        <v>12.16163444519043</v>
      </c>
      <c r="G495">
        <v>191307</v>
      </c>
    </row>
    <row r="496" spans="1:7" x14ac:dyDescent="0.2">
      <c r="A496">
        <v>31001</v>
      </c>
      <c r="B496" t="s">
        <v>3187</v>
      </c>
      <c r="C496">
        <v>4.0730945765972137E-3</v>
      </c>
      <c r="D496">
        <v>-4.9822621047496796E-2</v>
      </c>
      <c r="E496">
        <v>0.41826626658439636</v>
      </c>
      <c r="F496">
        <v>12.156394004821777</v>
      </c>
      <c r="G496">
        <v>190307</v>
      </c>
    </row>
    <row r="497" spans="1:7" x14ac:dyDescent="0.2">
      <c r="A497">
        <v>32305</v>
      </c>
      <c r="B497" t="s">
        <v>3216</v>
      </c>
      <c r="C497">
        <v>-2.2547576576471329E-2</v>
      </c>
      <c r="D497">
        <v>-8.7445080280303955E-2</v>
      </c>
      <c r="E497">
        <v>0.40580272674560547</v>
      </c>
      <c r="F497">
        <v>12.155757904052734</v>
      </c>
      <c r="G497">
        <v>190186</v>
      </c>
    </row>
    <row r="498" spans="1:7" x14ac:dyDescent="0.2">
      <c r="A498">
        <v>27504</v>
      </c>
      <c r="B498" t="s">
        <v>3186</v>
      </c>
      <c r="C498">
        <v>-5.9403438121080399E-2</v>
      </c>
      <c r="D498">
        <v>-0.13523650169372559</v>
      </c>
      <c r="E498">
        <v>0.52204799652099609</v>
      </c>
      <c r="F498">
        <v>12.152719497680664</v>
      </c>
      <c r="G498">
        <v>189609</v>
      </c>
    </row>
    <row r="499" spans="1:7" x14ac:dyDescent="0.2">
      <c r="A499">
        <v>301</v>
      </c>
      <c r="B499" t="s">
        <v>3200</v>
      </c>
      <c r="C499">
        <v>-0.14116419851779938</v>
      </c>
      <c r="D499">
        <v>-0.25310039520263672</v>
      </c>
      <c r="E499">
        <v>0.41166725754737854</v>
      </c>
      <c r="F499">
        <v>12.152440071105957</v>
      </c>
      <c r="G499">
        <v>189556</v>
      </c>
    </row>
    <row r="500" spans="1:7" x14ac:dyDescent="0.2">
      <c r="A500">
        <v>12702</v>
      </c>
      <c r="B500" t="s">
        <v>3190</v>
      </c>
      <c r="C500">
        <v>-0.12841908633708954</v>
      </c>
      <c r="D500">
        <v>-0.23469328880310059</v>
      </c>
      <c r="E500">
        <v>0.43463259935379028</v>
      </c>
      <c r="F500">
        <v>12.14174747467041</v>
      </c>
      <c r="G500">
        <v>187540</v>
      </c>
    </row>
    <row r="501" spans="1:7" x14ac:dyDescent="0.2">
      <c r="A501">
        <v>32401</v>
      </c>
      <c r="B501" t="s">
        <v>3203</v>
      </c>
      <c r="C501">
        <v>-3.516586497426033E-2</v>
      </c>
      <c r="D501">
        <v>-0.10640005022287369</v>
      </c>
      <c r="E501">
        <v>0.37184470891952515</v>
      </c>
      <c r="F501">
        <v>12.140488624572754</v>
      </c>
      <c r="G501">
        <v>187304</v>
      </c>
    </row>
    <row r="502" spans="1:7" x14ac:dyDescent="0.2">
      <c r="A502">
        <v>29303</v>
      </c>
      <c r="B502" t="s">
        <v>3205</v>
      </c>
      <c r="C502">
        <v>-8.7255492806434631E-2</v>
      </c>
      <c r="D502">
        <v>-0.17479906976222992</v>
      </c>
      <c r="E502">
        <v>0.50821965932846069</v>
      </c>
      <c r="F502">
        <v>12.139788627624512</v>
      </c>
      <c r="G502">
        <v>187173</v>
      </c>
    </row>
    <row r="503" spans="1:7" x14ac:dyDescent="0.2">
      <c r="A503">
        <v>35702</v>
      </c>
      <c r="B503" t="s">
        <v>3189</v>
      </c>
      <c r="C503">
        <v>-0.10497765243053436</v>
      </c>
      <c r="D503">
        <v>-0.20055705308914185</v>
      </c>
      <c r="E503">
        <v>0.47829157114028931</v>
      </c>
      <c r="F503">
        <v>12.138623237609863</v>
      </c>
      <c r="G503">
        <v>186955</v>
      </c>
    </row>
    <row r="504" spans="1:7" x14ac:dyDescent="0.2">
      <c r="A504">
        <v>36402</v>
      </c>
      <c r="B504" t="s">
        <v>3196</v>
      </c>
      <c r="C504">
        <v>3.5001600626856089E-3</v>
      </c>
      <c r="D504">
        <v>-4.6149212867021561E-2</v>
      </c>
      <c r="E504">
        <v>0.56570428609848022</v>
      </c>
      <c r="F504">
        <v>12.134973526000977</v>
      </c>
      <c r="G504">
        <v>186274</v>
      </c>
    </row>
    <row r="505" spans="1:7" x14ac:dyDescent="0.2">
      <c r="A505">
        <v>27901</v>
      </c>
      <c r="B505" t="s">
        <v>3199</v>
      </c>
      <c r="C505">
        <v>-0.10528932511806488</v>
      </c>
      <c r="D505">
        <v>-0.19717216491699219</v>
      </c>
      <c r="E505">
        <v>0.59897613525390625</v>
      </c>
      <c r="F505">
        <v>12.132221221923828</v>
      </c>
      <c r="G505">
        <v>185762</v>
      </c>
    </row>
    <row r="506" spans="1:7" x14ac:dyDescent="0.2">
      <c r="A506">
        <v>27102</v>
      </c>
      <c r="B506" t="s">
        <v>3197</v>
      </c>
      <c r="C506">
        <v>-7.6586917042732239E-2</v>
      </c>
      <c r="D506">
        <v>-0.15900634229183197</v>
      </c>
      <c r="E506">
        <v>0.53875267505645752</v>
      </c>
      <c r="F506">
        <v>12.132113456726074</v>
      </c>
      <c r="G506">
        <v>185742</v>
      </c>
    </row>
    <row r="507" spans="1:7" x14ac:dyDescent="0.2">
      <c r="A507">
        <v>10301</v>
      </c>
      <c r="B507" t="s">
        <v>3214</v>
      </c>
      <c r="C507">
        <v>-8.6029991507530212E-2</v>
      </c>
      <c r="D507">
        <v>-0.17449013888835907</v>
      </c>
      <c r="E507">
        <v>0.47035306692123413</v>
      </c>
      <c r="F507">
        <v>12.127348899841309</v>
      </c>
      <c r="G507">
        <v>184859</v>
      </c>
    </row>
    <row r="508" spans="1:7" x14ac:dyDescent="0.2">
      <c r="A508">
        <v>6501</v>
      </c>
      <c r="B508" t="s">
        <v>3184</v>
      </c>
      <c r="C508">
        <v>-7.0756673812866211E-2</v>
      </c>
      <c r="D508">
        <v>-0.15457260608673096</v>
      </c>
      <c r="E508">
        <v>0.42929521203041077</v>
      </c>
      <c r="F508">
        <v>12.120291709899902</v>
      </c>
      <c r="G508">
        <v>183559</v>
      </c>
    </row>
    <row r="509" spans="1:7" x14ac:dyDescent="0.2">
      <c r="A509">
        <v>32702</v>
      </c>
      <c r="B509" t="s">
        <v>3212</v>
      </c>
      <c r="C509">
        <v>-3.8624171167612076E-2</v>
      </c>
      <c r="D509">
        <v>-0.10747512429952621</v>
      </c>
      <c r="E509">
        <v>0.49719646573066711</v>
      </c>
      <c r="F509">
        <v>12.119097709655762</v>
      </c>
      <c r="G509">
        <v>183340</v>
      </c>
    </row>
    <row r="510" spans="1:7" x14ac:dyDescent="0.2">
      <c r="A510">
        <v>19903</v>
      </c>
      <c r="B510" t="s">
        <v>3213</v>
      </c>
      <c r="C510">
        <v>1.88949815928936E-2</v>
      </c>
      <c r="D510">
        <v>-2.8538594022393227E-2</v>
      </c>
      <c r="E510">
        <v>0.46090531349182129</v>
      </c>
      <c r="F510">
        <v>12.098999977111816</v>
      </c>
      <c r="G510">
        <v>179692</v>
      </c>
    </row>
    <row r="511" spans="1:7" x14ac:dyDescent="0.2">
      <c r="A511">
        <v>36401</v>
      </c>
      <c r="B511" t="s">
        <v>3206</v>
      </c>
      <c r="C511">
        <v>8.8449977338314056E-3</v>
      </c>
      <c r="D511">
        <v>-3.9761237800121307E-2</v>
      </c>
      <c r="E511">
        <v>0.54859143495559692</v>
      </c>
      <c r="F511">
        <v>12.097796440124512</v>
      </c>
      <c r="G511">
        <v>179476</v>
      </c>
    </row>
    <row r="512" spans="1:7" x14ac:dyDescent="0.2">
      <c r="A512">
        <v>27302</v>
      </c>
      <c r="B512" t="s">
        <v>3227</v>
      </c>
      <c r="C512">
        <v>-7.9947277903556824E-2</v>
      </c>
      <c r="D512">
        <v>-0.16489528119564056</v>
      </c>
      <c r="E512">
        <v>0.51991945505142212</v>
      </c>
      <c r="F512">
        <v>12.091183662414551</v>
      </c>
      <c r="G512">
        <v>178293</v>
      </c>
    </row>
    <row r="513" spans="1:7" x14ac:dyDescent="0.2">
      <c r="A513">
        <v>21001</v>
      </c>
      <c r="B513" t="s">
        <v>3211</v>
      </c>
      <c r="C513">
        <v>-7.9316213726997375E-2</v>
      </c>
      <c r="D513">
        <v>-0.16348609328269958</v>
      </c>
      <c r="E513">
        <v>0.53650009632110596</v>
      </c>
      <c r="F513">
        <v>12.090459823608398</v>
      </c>
      <c r="G513">
        <v>178164</v>
      </c>
    </row>
    <row r="514" spans="1:7" x14ac:dyDescent="0.2">
      <c r="A514">
        <v>16802</v>
      </c>
      <c r="B514" t="s">
        <v>3208</v>
      </c>
      <c r="C514">
        <v>-0.10800753533840179</v>
      </c>
      <c r="D514">
        <v>-0.20781809091567993</v>
      </c>
      <c r="E514">
        <v>0.40695640444755554</v>
      </c>
      <c r="F514">
        <v>12.088375091552734</v>
      </c>
      <c r="G514">
        <v>177793</v>
      </c>
    </row>
    <row r="515" spans="1:7" x14ac:dyDescent="0.2">
      <c r="A515">
        <v>14801</v>
      </c>
      <c r="B515" t="s">
        <v>3198</v>
      </c>
      <c r="C515">
        <v>-0.10685424506664276</v>
      </c>
      <c r="D515">
        <v>-0.20106790959835052</v>
      </c>
      <c r="E515">
        <v>0.56633734703063965</v>
      </c>
      <c r="F515">
        <v>12.086438179016113</v>
      </c>
      <c r="G515">
        <v>177449</v>
      </c>
    </row>
    <row r="516" spans="1:7" x14ac:dyDescent="0.2">
      <c r="A516">
        <v>21502</v>
      </c>
      <c r="B516" t="s">
        <v>3215</v>
      </c>
      <c r="C516">
        <v>-3.4868482500314713E-2</v>
      </c>
      <c r="D516">
        <v>-0.10120972245931625</v>
      </c>
      <c r="E516">
        <v>0.54464536905288696</v>
      </c>
      <c r="F516">
        <v>12.082355499267578</v>
      </c>
      <c r="G516">
        <v>176726</v>
      </c>
    </row>
    <row r="517" spans="1:7" x14ac:dyDescent="0.2">
      <c r="A517">
        <v>11002</v>
      </c>
      <c r="B517" t="s">
        <v>3210</v>
      </c>
      <c r="C517">
        <v>-4.6241898089647293E-2</v>
      </c>
      <c r="D517">
        <v>-0.12076102942228317</v>
      </c>
      <c r="E517">
        <v>0.43262714147567749</v>
      </c>
      <c r="F517">
        <v>12.080713272094727</v>
      </c>
      <c r="G517">
        <v>176436</v>
      </c>
    </row>
    <row r="518" spans="1:7" x14ac:dyDescent="0.2">
      <c r="A518">
        <v>29401</v>
      </c>
      <c r="B518" t="s">
        <v>3207</v>
      </c>
      <c r="C518">
        <v>-0.10826806724071503</v>
      </c>
      <c r="D518">
        <v>-0.20488226413726807</v>
      </c>
      <c r="E518">
        <v>0.51648908853530884</v>
      </c>
      <c r="F518">
        <v>12.070774078369141</v>
      </c>
      <c r="G518">
        <v>174691</v>
      </c>
    </row>
    <row r="519" spans="1:7" x14ac:dyDescent="0.2">
      <c r="A519">
        <v>28704</v>
      </c>
      <c r="B519" t="s">
        <v>3221</v>
      </c>
      <c r="C519">
        <v>-1.1769745498895645E-2</v>
      </c>
      <c r="D519">
        <v>-6.6574074327945709E-2</v>
      </c>
      <c r="E519">
        <v>0.62655961513519287</v>
      </c>
      <c r="F519">
        <v>12.060827255249023</v>
      </c>
      <c r="G519">
        <v>172962</v>
      </c>
    </row>
    <row r="520" spans="1:7" x14ac:dyDescent="0.2">
      <c r="A520">
        <v>32306</v>
      </c>
      <c r="B520" t="s">
        <v>3201</v>
      </c>
      <c r="C520">
        <v>-4.3538440018892288E-2</v>
      </c>
      <c r="D520">
        <v>-0.11877448856830597</v>
      </c>
      <c r="E520">
        <v>0.38631799817085266</v>
      </c>
      <c r="F520">
        <v>12.060208320617676</v>
      </c>
      <c r="G520">
        <v>172855</v>
      </c>
    </row>
    <row r="521" spans="1:7" x14ac:dyDescent="0.2">
      <c r="A521">
        <v>33602</v>
      </c>
      <c r="B521" t="s">
        <v>3204</v>
      </c>
      <c r="C521">
        <v>-0.10202156007289886</v>
      </c>
      <c r="D521">
        <v>-0.19785653054714203</v>
      </c>
      <c r="E521">
        <v>0.46915647387504578</v>
      </c>
      <c r="F521">
        <v>12.058714866638184</v>
      </c>
      <c r="G521">
        <v>172597</v>
      </c>
    </row>
    <row r="522" spans="1:7" x14ac:dyDescent="0.2">
      <c r="A522">
        <v>34301</v>
      </c>
      <c r="B522" t="s">
        <v>3218</v>
      </c>
      <c r="C522">
        <v>8.9573499280959368E-4</v>
      </c>
      <c r="D522">
        <v>-5.1040798425674438E-2</v>
      </c>
      <c r="E522">
        <v>0.56345289945602417</v>
      </c>
      <c r="F522">
        <v>12.052046775817871</v>
      </c>
      <c r="G522">
        <v>171450</v>
      </c>
    </row>
    <row r="523" spans="1:7" x14ac:dyDescent="0.2">
      <c r="A523">
        <v>3202</v>
      </c>
      <c r="B523" t="s">
        <v>3222</v>
      </c>
      <c r="C523">
        <v>-6.9838270545005798E-2</v>
      </c>
      <c r="D523">
        <v>-0.15358524024486542</v>
      </c>
      <c r="E523">
        <v>0.45285654067993164</v>
      </c>
      <c r="F523">
        <v>12.045686721801758</v>
      </c>
      <c r="G523">
        <v>170363</v>
      </c>
    </row>
    <row r="524" spans="1:7" x14ac:dyDescent="0.2">
      <c r="A524">
        <v>29004</v>
      </c>
      <c r="B524" t="s">
        <v>3219</v>
      </c>
      <c r="C524">
        <v>-0.10462446510791779</v>
      </c>
      <c r="D524">
        <v>-0.20017684996128082</v>
      </c>
      <c r="E524">
        <v>0.51716560125350952</v>
      </c>
      <c r="F524">
        <v>12.041957855224609</v>
      </c>
      <c r="G524">
        <v>169729</v>
      </c>
    </row>
    <row r="525" spans="1:7" x14ac:dyDescent="0.2">
      <c r="A525">
        <v>34801</v>
      </c>
      <c r="B525" t="s">
        <v>3220</v>
      </c>
      <c r="C525">
        <v>-1.5849698334932327E-2</v>
      </c>
      <c r="D525">
        <v>-7.4260279536247253E-2</v>
      </c>
      <c r="E525">
        <v>0.57845860719680786</v>
      </c>
      <c r="F525">
        <v>12.030957221984863</v>
      </c>
      <c r="G525">
        <v>167872</v>
      </c>
    </row>
    <row r="526" spans="1:7" x14ac:dyDescent="0.2">
      <c r="A526">
        <v>35402</v>
      </c>
      <c r="B526" t="s">
        <v>3217</v>
      </c>
      <c r="C526">
        <v>-3.9588440209627151E-2</v>
      </c>
      <c r="D526">
        <v>-0.10825734585523605</v>
      </c>
      <c r="E526">
        <v>0.5537223219871521</v>
      </c>
      <c r="F526">
        <v>12.029961585998535</v>
      </c>
      <c r="G526">
        <v>167705</v>
      </c>
    </row>
    <row r="527" spans="1:7" x14ac:dyDescent="0.2">
      <c r="A527">
        <v>30604</v>
      </c>
      <c r="B527" t="s">
        <v>3228</v>
      </c>
      <c r="C527">
        <v>-8.1477418541908264E-2</v>
      </c>
      <c r="D527">
        <v>-0.16952496767044067</v>
      </c>
      <c r="E527">
        <v>0.47779759764671326</v>
      </c>
      <c r="F527">
        <v>12.011953353881836</v>
      </c>
      <c r="G527">
        <v>164712</v>
      </c>
    </row>
    <row r="528" spans="1:7" x14ac:dyDescent="0.2">
      <c r="A528">
        <v>27401</v>
      </c>
      <c r="B528" t="s">
        <v>3226</v>
      </c>
      <c r="C528">
        <v>-8.5540935397148132E-2</v>
      </c>
      <c r="D528">
        <v>-0.17380246520042419</v>
      </c>
      <c r="E528">
        <v>0.52243632078170776</v>
      </c>
      <c r="F528">
        <v>12.008828163146973</v>
      </c>
      <c r="G528">
        <v>164198</v>
      </c>
    </row>
    <row r="529" spans="1:7" x14ac:dyDescent="0.2">
      <c r="A529">
        <v>29006</v>
      </c>
      <c r="B529" t="s">
        <v>3224</v>
      </c>
      <c r="C529">
        <v>-0.13920889794826508</v>
      </c>
      <c r="D529">
        <v>-0.24690423905849457</v>
      </c>
      <c r="E529">
        <v>0.58228844404220581</v>
      </c>
      <c r="F529">
        <v>12.006969451904297</v>
      </c>
      <c r="G529">
        <v>163893</v>
      </c>
    </row>
    <row r="530" spans="1:7" x14ac:dyDescent="0.2">
      <c r="A530">
        <v>26410</v>
      </c>
      <c r="B530" t="s">
        <v>3209</v>
      </c>
      <c r="C530">
        <v>3.2811278942972422E-3</v>
      </c>
      <c r="D530">
        <v>-4.7364681959152222E-2</v>
      </c>
      <c r="E530">
        <v>0.59675019979476929</v>
      </c>
      <c r="F530">
        <v>12.000154495239258</v>
      </c>
      <c r="G530">
        <v>162780</v>
      </c>
    </row>
    <row r="531" spans="1:7" x14ac:dyDescent="0.2">
      <c r="A531">
        <v>29003</v>
      </c>
      <c r="B531" t="s">
        <v>3238</v>
      </c>
      <c r="C531">
        <v>1.9051652401685715E-2</v>
      </c>
      <c r="D531">
        <v>-3.245384618639946E-2</v>
      </c>
      <c r="E531">
        <v>0.3846394419670105</v>
      </c>
      <c r="F531">
        <v>11.981997489929199</v>
      </c>
      <c r="G531">
        <v>159851</v>
      </c>
    </row>
    <row r="532" spans="1:7" x14ac:dyDescent="0.2">
      <c r="A532">
        <v>39201</v>
      </c>
      <c r="B532" t="s">
        <v>3236</v>
      </c>
      <c r="C532">
        <v>-4.3876159936189651E-2</v>
      </c>
      <c r="D532">
        <v>-0.11731093376874924</v>
      </c>
      <c r="E532">
        <v>0.48158326745033264</v>
      </c>
      <c r="F532">
        <v>11.979127883911133</v>
      </c>
      <c r="G532">
        <v>159393</v>
      </c>
    </row>
    <row r="533" spans="1:7" x14ac:dyDescent="0.2">
      <c r="A533">
        <v>25104</v>
      </c>
      <c r="B533" t="s">
        <v>3223</v>
      </c>
      <c r="C533">
        <v>-0.13753746449947357</v>
      </c>
      <c r="D533">
        <v>-0.24957212805747986</v>
      </c>
      <c r="E533">
        <v>0.44023269414901733</v>
      </c>
      <c r="F533">
        <v>11.978814125061035</v>
      </c>
      <c r="G533">
        <v>159343</v>
      </c>
    </row>
    <row r="534" spans="1:7" x14ac:dyDescent="0.2">
      <c r="A534">
        <v>28301</v>
      </c>
      <c r="B534" t="s">
        <v>3230</v>
      </c>
      <c r="C534">
        <v>-3.8646657019853592E-2</v>
      </c>
      <c r="D534">
        <v>-0.10765498876571655</v>
      </c>
      <c r="E534">
        <v>0.55468624830245972</v>
      </c>
      <c r="F534">
        <v>11.977508544921875</v>
      </c>
      <c r="G534">
        <v>159135</v>
      </c>
    </row>
    <row r="535" spans="1:7" x14ac:dyDescent="0.2">
      <c r="A535">
        <v>26803</v>
      </c>
      <c r="B535" t="s">
        <v>3232</v>
      </c>
      <c r="C535">
        <v>-5.6928340345621109E-2</v>
      </c>
      <c r="D535">
        <v>-0.13209883868694305</v>
      </c>
      <c r="E535">
        <v>0.59000766277313232</v>
      </c>
      <c r="F535">
        <v>11.975035667419434</v>
      </c>
      <c r="G535">
        <v>158742</v>
      </c>
    </row>
    <row r="536" spans="1:7" x14ac:dyDescent="0.2">
      <c r="A536">
        <v>35002</v>
      </c>
      <c r="B536" t="s">
        <v>3244</v>
      </c>
      <c r="C536">
        <v>-7.4156850576400757E-2</v>
      </c>
      <c r="D536">
        <v>-0.15833637118339539</v>
      </c>
      <c r="E536">
        <v>0.5291370153427124</v>
      </c>
      <c r="F536">
        <v>11.962139129638672</v>
      </c>
      <c r="G536">
        <v>156708</v>
      </c>
    </row>
    <row r="537" spans="1:7" x14ac:dyDescent="0.2">
      <c r="A537">
        <v>34805</v>
      </c>
      <c r="B537" t="s">
        <v>3233</v>
      </c>
      <c r="C537">
        <v>-8.1302210688591003E-2</v>
      </c>
      <c r="D537">
        <v>-0.16832929849624634</v>
      </c>
      <c r="E537">
        <v>0.53699320554733276</v>
      </c>
      <c r="F537">
        <v>11.94383716583252</v>
      </c>
      <c r="G537">
        <v>153866</v>
      </c>
    </row>
    <row r="538" spans="1:7" x14ac:dyDescent="0.2">
      <c r="A538">
        <v>10802</v>
      </c>
      <c r="B538" t="s">
        <v>3237</v>
      </c>
      <c r="C538">
        <v>-9.7585514187812805E-2</v>
      </c>
      <c r="D538">
        <v>-0.19359636306762695</v>
      </c>
      <c r="E538">
        <v>0.46021592617034912</v>
      </c>
      <c r="F538">
        <v>11.942543029785156</v>
      </c>
      <c r="G538">
        <v>153667</v>
      </c>
    </row>
    <row r="539" spans="1:7" x14ac:dyDescent="0.2">
      <c r="A539">
        <v>31302</v>
      </c>
      <c r="B539" t="s">
        <v>3234</v>
      </c>
      <c r="C539">
        <v>-1.3769421726465225E-2</v>
      </c>
      <c r="D539">
        <v>-7.7593013644218445E-2</v>
      </c>
      <c r="E539">
        <v>0.42586624622344971</v>
      </c>
      <c r="F539">
        <v>11.939826011657715</v>
      </c>
      <c r="G539">
        <v>153250</v>
      </c>
    </row>
    <row r="540" spans="1:7" x14ac:dyDescent="0.2">
      <c r="A540">
        <v>1201</v>
      </c>
      <c r="B540" t="s">
        <v>3231</v>
      </c>
      <c r="C540">
        <v>-0.12293915450572968</v>
      </c>
      <c r="D540">
        <v>-0.22560091316699982</v>
      </c>
      <c r="E540">
        <v>0.57115966081619263</v>
      </c>
      <c r="F540">
        <v>11.931148529052734</v>
      </c>
      <c r="G540">
        <v>151926</v>
      </c>
    </row>
    <row r="541" spans="1:7" x14ac:dyDescent="0.2">
      <c r="A541">
        <v>27502</v>
      </c>
      <c r="B541" t="s">
        <v>3252</v>
      </c>
      <c r="C541">
        <v>-7.562766969203949E-2</v>
      </c>
      <c r="D541">
        <v>-0.16169698536396027</v>
      </c>
      <c r="E541">
        <v>0.50509881973266602</v>
      </c>
      <c r="F541">
        <v>11.925141334533691</v>
      </c>
      <c r="G541">
        <v>151016</v>
      </c>
    </row>
    <row r="542" spans="1:7" x14ac:dyDescent="0.2">
      <c r="A542">
        <v>31102</v>
      </c>
      <c r="B542" t="s">
        <v>3241</v>
      </c>
      <c r="C542">
        <v>-3.474388038739562E-3</v>
      </c>
      <c r="D542">
        <v>-6.3136637210845947E-2</v>
      </c>
      <c r="E542">
        <v>0.43446928262710571</v>
      </c>
      <c r="F542">
        <v>11.924869537353516</v>
      </c>
      <c r="G542">
        <v>150975</v>
      </c>
    </row>
    <row r="543" spans="1:7" x14ac:dyDescent="0.2">
      <c r="A543">
        <v>30908</v>
      </c>
      <c r="B543" t="s">
        <v>3235</v>
      </c>
      <c r="C543">
        <v>-5.3343672305345535E-2</v>
      </c>
      <c r="D543">
        <v>-0.13488650321960449</v>
      </c>
      <c r="E543">
        <v>0.37813949584960938</v>
      </c>
      <c r="F543">
        <v>11.909483909606934</v>
      </c>
      <c r="G543">
        <v>148670</v>
      </c>
    </row>
    <row r="544" spans="1:7" x14ac:dyDescent="0.2">
      <c r="A544">
        <v>29902</v>
      </c>
      <c r="B544" t="s">
        <v>3239</v>
      </c>
      <c r="C544">
        <v>-0.1469639390707016</v>
      </c>
      <c r="D544">
        <v>-0.26442456245422363</v>
      </c>
      <c r="E544">
        <v>0.42297142744064331</v>
      </c>
      <c r="F544">
        <v>11.900199890136719</v>
      </c>
      <c r="G544">
        <v>147296</v>
      </c>
    </row>
    <row r="545" spans="1:7" x14ac:dyDescent="0.2">
      <c r="A545">
        <v>28102</v>
      </c>
      <c r="B545" t="s">
        <v>3225</v>
      </c>
      <c r="C545">
        <v>-0.10672836005687714</v>
      </c>
      <c r="D545">
        <v>-0.20336240530014038</v>
      </c>
      <c r="E545">
        <v>0.57522052526473999</v>
      </c>
      <c r="F545">
        <v>11.892299652099609</v>
      </c>
      <c r="G545">
        <v>146137</v>
      </c>
    </row>
    <row r="546" spans="1:7" x14ac:dyDescent="0.2">
      <c r="A546">
        <v>28201</v>
      </c>
      <c r="B546" t="s">
        <v>3229</v>
      </c>
      <c r="C546">
        <v>-7.6285362243652344E-2</v>
      </c>
      <c r="D546">
        <v>-0.16345213353633881</v>
      </c>
      <c r="E546">
        <v>0.49671688675880432</v>
      </c>
      <c r="F546">
        <v>11.885433197021484</v>
      </c>
      <c r="G546">
        <v>145137</v>
      </c>
    </row>
    <row r="547" spans="1:7" x14ac:dyDescent="0.2">
      <c r="A547">
        <v>11202</v>
      </c>
      <c r="B547" t="s">
        <v>3249</v>
      </c>
      <c r="C547">
        <v>-8.7688431143760681E-2</v>
      </c>
      <c r="D547">
        <v>-0.18192125856876373</v>
      </c>
      <c r="E547">
        <v>0.42416080832481384</v>
      </c>
      <c r="F547">
        <v>11.872856140136719</v>
      </c>
      <c r="G547">
        <v>143323</v>
      </c>
    </row>
    <row r="548" spans="1:7" x14ac:dyDescent="0.2">
      <c r="A548">
        <v>28306</v>
      </c>
      <c r="B548" t="s">
        <v>3253</v>
      </c>
      <c r="C548">
        <v>-8.5636094212532043E-2</v>
      </c>
      <c r="D548">
        <v>-0.1772569864988327</v>
      </c>
      <c r="E548">
        <v>0.48259049654006958</v>
      </c>
      <c r="F548">
        <v>11.865945816040039</v>
      </c>
      <c r="G548">
        <v>142336</v>
      </c>
    </row>
    <row r="549" spans="1:7" x14ac:dyDescent="0.2">
      <c r="A549">
        <v>26107</v>
      </c>
      <c r="B549" t="s">
        <v>3243</v>
      </c>
      <c r="C549">
        <v>-0.13934923708438873</v>
      </c>
      <c r="D549">
        <v>-0.2528148889541626</v>
      </c>
      <c r="E549">
        <v>0.46823024749755859</v>
      </c>
      <c r="F549">
        <v>11.864954948425293</v>
      </c>
      <c r="G549">
        <v>142195</v>
      </c>
    </row>
    <row r="550" spans="1:7" x14ac:dyDescent="0.2">
      <c r="A550">
        <v>12902</v>
      </c>
      <c r="B550" t="s">
        <v>3246</v>
      </c>
      <c r="C550">
        <v>-0.10954456031322479</v>
      </c>
      <c r="D550">
        <v>-0.21226406097412109</v>
      </c>
      <c r="E550">
        <v>0.43763783574104309</v>
      </c>
      <c r="F550">
        <v>11.856678009033203</v>
      </c>
      <c r="G550">
        <v>141023</v>
      </c>
    </row>
    <row r="551" spans="1:7" x14ac:dyDescent="0.2">
      <c r="A551">
        <v>10101</v>
      </c>
      <c r="B551" t="s">
        <v>3255</v>
      </c>
      <c r="C551">
        <v>-7.6811209321022034E-2</v>
      </c>
      <c r="D551">
        <v>-0.16666470468044281</v>
      </c>
      <c r="E551">
        <v>0.43592509627342224</v>
      </c>
      <c r="F551">
        <v>11.849733352661133</v>
      </c>
      <c r="G551">
        <v>140047</v>
      </c>
    </row>
    <row r="552" spans="1:7" x14ac:dyDescent="0.2">
      <c r="A552">
        <v>18202</v>
      </c>
      <c r="B552" t="s">
        <v>3254</v>
      </c>
      <c r="C552">
        <v>-0.1185486763715744</v>
      </c>
      <c r="D552">
        <v>-0.22484269738197327</v>
      </c>
      <c r="E552">
        <v>0.44143068790435791</v>
      </c>
      <c r="F552">
        <v>11.848518371582031</v>
      </c>
      <c r="G552">
        <v>139877</v>
      </c>
    </row>
    <row r="553" spans="1:7" x14ac:dyDescent="0.2">
      <c r="A553">
        <v>21002</v>
      </c>
      <c r="B553" t="s">
        <v>3242</v>
      </c>
      <c r="C553">
        <v>-0.11746467649936676</v>
      </c>
      <c r="D553">
        <v>-0.2185070812702179</v>
      </c>
      <c r="E553">
        <v>0.59019768238067627</v>
      </c>
      <c r="F553">
        <v>11.848432540893555</v>
      </c>
      <c r="G553">
        <v>139865</v>
      </c>
    </row>
    <row r="554" spans="1:7" x14ac:dyDescent="0.2">
      <c r="A554">
        <v>16703</v>
      </c>
      <c r="B554" t="s">
        <v>3247</v>
      </c>
      <c r="C554">
        <v>-0.12069816887378693</v>
      </c>
      <c r="D554">
        <v>-0.22954566776752472</v>
      </c>
      <c r="E554">
        <v>0.39131715893745422</v>
      </c>
      <c r="F554">
        <v>11.843293190002441</v>
      </c>
      <c r="G554">
        <v>139148</v>
      </c>
    </row>
    <row r="555" spans="1:7" x14ac:dyDescent="0.2">
      <c r="A555">
        <v>36901</v>
      </c>
      <c r="B555" t="s">
        <v>3240</v>
      </c>
      <c r="C555">
        <v>-3.9772439748048782E-2</v>
      </c>
      <c r="D555">
        <v>-0.11247249692678452</v>
      </c>
      <c r="E555">
        <v>0.51358366012573242</v>
      </c>
      <c r="F555">
        <v>11.842955589294434</v>
      </c>
      <c r="G555">
        <v>139101</v>
      </c>
    </row>
    <row r="556" spans="1:7" x14ac:dyDescent="0.2">
      <c r="A556">
        <v>4501</v>
      </c>
      <c r="B556" t="s">
        <v>3251</v>
      </c>
      <c r="C556">
        <v>-0.11251436173915863</v>
      </c>
      <c r="D556">
        <v>-0.21608147025108337</v>
      </c>
      <c r="E556">
        <v>0.45720016956329346</v>
      </c>
      <c r="F556">
        <v>11.835537910461426</v>
      </c>
      <c r="G556">
        <v>138073</v>
      </c>
    </row>
    <row r="557" spans="1:7" x14ac:dyDescent="0.2">
      <c r="A557">
        <v>21202</v>
      </c>
      <c r="B557" t="s">
        <v>3248</v>
      </c>
      <c r="C557">
        <v>-3.4655142575502396E-2</v>
      </c>
      <c r="D557">
        <v>-0.10360949486494064</v>
      </c>
      <c r="E557">
        <v>0.57664990425109863</v>
      </c>
      <c r="F557">
        <v>11.819460868835449</v>
      </c>
      <c r="G557">
        <v>135871</v>
      </c>
    </row>
    <row r="558" spans="1:7" x14ac:dyDescent="0.2">
      <c r="A558">
        <v>4903</v>
      </c>
      <c r="B558" t="s">
        <v>3245</v>
      </c>
      <c r="C558">
        <v>-0.10214234888553619</v>
      </c>
      <c r="D558">
        <v>-0.20402337610721588</v>
      </c>
      <c r="E558">
        <v>0.39010927081108093</v>
      </c>
      <c r="F558">
        <v>11.816882133483887</v>
      </c>
      <c r="G558">
        <v>135521</v>
      </c>
    </row>
    <row r="559" spans="1:7" x14ac:dyDescent="0.2">
      <c r="A559">
        <v>30403</v>
      </c>
      <c r="B559" t="s">
        <v>3257</v>
      </c>
      <c r="C559">
        <v>-0.10072149336338043</v>
      </c>
      <c r="D559">
        <v>-0.19955652952194214</v>
      </c>
      <c r="E559">
        <v>0.46668535470962524</v>
      </c>
      <c r="F559">
        <v>11.816807746887207</v>
      </c>
      <c r="G559">
        <v>135511</v>
      </c>
    </row>
    <row r="560" spans="1:7" x14ac:dyDescent="0.2">
      <c r="A560">
        <v>31007</v>
      </c>
      <c r="B560" t="s">
        <v>3250</v>
      </c>
      <c r="C560">
        <v>-1.040085032582283E-2</v>
      </c>
      <c r="D560">
        <v>-7.536914199590683E-2</v>
      </c>
      <c r="E560">
        <v>0.40329688787460327</v>
      </c>
      <c r="F560">
        <v>11.816438674926758</v>
      </c>
      <c r="G560">
        <v>135461</v>
      </c>
    </row>
    <row r="561" spans="1:7" x14ac:dyDescent="0.2">
      <c r="A561">
        <v>25402</v>
      </c>
      <c r="B561" t="s">
        <v>3267</v>
      </c>
      <c r="C561">
        <v>-7.0353105664253235E-2</v>
      </c>
      <c r="D561">
        <v>-0.15419895946979523</v>
      </c>
      <c r="E561">
        <v>0.56829315423965454</v>
      </c>
      <c r="F561">
        <v>11.789814949035645</v>
      </c>
      <c r="G561">
        <v>131902</v>
      </c>
    </row>
    <row r="562" spans="1:7" x14ac:dyDescent="0.2">
      <c r="A562">
        <v>26703</v>
      </c>
      <c r="B562" t="s">
        <v>3258</v>
      </c>
      <c r="C562">
        <v>-3.1559515744447708E-2</v>
      </c>
      <c r="D562">
        <v>-9.8840087652206421E-2</v>
      </c>
      <c r="E562">
        <v>0.60985034704208374</v>
      </c>
      <c r="F562">
        <v>11.774866104125977</v>
      </c>
      <c r="G562">
        <v>129945</v>
      </c>
    </row>
    <row r="563" spans="1:7" x14ac:dyDescent="0.2">
      <c r="A563">
        <v>8402</v>
      </c>
      <c r="B563" t="s">
        <v>3256</v>
      </c>
      <c r="C563">
        <v>-3.4071315079927444E-2</v>
      </c>
      <c r="D563">
        <v>-0.10756498575210571</v>
      </c>
      <c r="E563">
        <v>0.45033347606658936</v>
      </c>
      <c r="F563">
        <v>11.77177619934082</v>
      </c>
      <c r="G563">
        <v>129544</v>
      </c>
    </row>
    <row r="564" spans="1:7" x14ac:dyDescent="0.2">
      <c r="A564">
        <v>26106</v>
      </c>
      <c r="B564" t="s">
        <v>3262</v>
      </c>
      <c r="C564">
        <v>-7.3477685451507568E-2</v>
      </c>
      <c r="D564">
        <v>-0.16065533459186554</v>
      </c>
      <c r="E564">
        <v>0.52510404586791992</v>
      </c>
      <c r="F564">
        <v>11.741311073303223</v>
      </c>
      <c r="G564">
        <v>125657</v>
      </c>
    </row>
    <row r="565" spans="1:7" x14ac:dyDescent="0.2">
      <c r="A565">
        <v>31004</v>
      </c>
      <c r="B565" t="s">
        <v>3266</v>
      </c>
      <c r="C565">
        <v>1.1572610586881638E-2</v>
      </c>
      <c r="D565">
        <v>-4.5313570648431778E-2</v>
      </c>
      <c r="E565">
        <v>0.41612261533737183</v>
      </c>
      <c r="F565">
        <v>11.740857124328613</v>
      </c>
      <c r="G565">
        <v>125600</v>
      </c>
    </row>
    <row r="566" spans="1:7" x14ac:dyDescent="0.2">
      <c r="A566">
        <v>31402</v>
      </c>
      <c r="B566" t="s">
        <v>3260</v>
      </c>
      <c r="C566">
        <v>1.1709000915288925E-2</v>
      </c>
      <c r="D566">
        <v>-4.6518731862306595E-2</v>
      </c>
      <c r="E566">
        <v>0.37524005770683289</v>
      </c>
      <c r="F566">
        <v>11.73587703704834</v>
      </c>
      <c r="G566">
        <v>124976</v>
      </c>
    </row>
    <row r="567" spans="1:7" x14ac:dyDescent="0.2">
      <c r="A567">
        <v>35904</v>
      </c>
      <c r="B567" t="s">
        <v>3268</v>
      </c>
      <c r="C567">
        <v>-7.1444109082221985E-2</v>
      </c>
      <c r="D567">
        <v>-0.15758565068244934</v>
      </c>
      <c r="E567">
        <v>0.54031962156295776</v>
      </c>
      <c r="F567">
        <v>11.722594261169434</v>
      </c>
      <c r="G567">
        <v>123327</v>
      </c>
    </row>
    <row r="568" spans="1:7" x14ac:dyDescent="0.2">
      <c r="A568">
        <v>4301</v>
      </c>
      <c r="B568" t="s">
        <v>3263</v>
      </c>
      <c r="C568">
        <v>-7.8358784317970276E-2</v>
      </c>
      <c r="D568">
        <v>-0.17021782696247101</v>
      </c>
      <c r="E568">
        <v>0.450347900390625</v>
      </c>
      <c r="F568">
        <v>11.71900463104248</v>
      </c>
      <c r="G568">
        <v>122885</v>
      </c>
    </row>
    <row r="569" spans="1:7" x14ac:dyDescent="0.2">
      <c r="A569">
        <v>26412</v>
      </c>
      <c r="B569" t="s">
        <v>3272</v>
      </c>
      <c r="C569">
        <v>2.6115145534276962E-2</v>
      </c>
      <c r="D569">
        <v>-2.0053142681717873E-2</v>
      </c>
      <c r="E569">
        <v>0.57929927110671997</v>
      </c>
      <c r="F569">
        <v>11.715849876403809</v>
      </c>
      <c r="G569">
        <v>122498</v>
      </c>
    </row>
    <row r="570" spans="1:7" x14ac:dyDescent="0.2">
      <c r="A570">
        <v>8502</v>
      </c>
      <c r="B570" t="s">
        <v>3259</v>
      </c>
      <c r="C570">
        <v>-5.9861931949853897E-2</v>
      </c>
      <c r="D570">
        <v>-0.14504837989807129</v>
      </c>
      <c r="E570">
        <v>0.43947586417198181</v>
      </c>
      <c r="F570">
        <v>11.695605278015137</v>
      </c>
      <c r="G570">
        <v>120043</v>
      </c>
    </row>
    <row r="571" spans="1:7" x14ac:dyDescent="0.2">
      <c r="A571">
        <v>3102</v>
      </c>
      <c r="B571" t="s">
        <v>3261</v>
      </c>
      <c r="C571">
        <v>-6.1589512974023819E-2</v>
      </c>
      <c r="D571">
        <v>-0.14571355283260345</v>
      </c>
      <c r="E571">
        <v>0.49619019031524658</v>
      </c>
      <c r="F571">
        <v>11.689371109008789</v>
      </c>
      <c r="G571">
        <v>119297</v>
      </c>
    </row>
    <row r="572" spans="1:7" x14ac:dyDescent="0.2">
      <c r="A572">
        <v>29505</v>
      </c>
      <c r="B572" t="s">
        <v>3271</v>
      </c>
      <c r="C572">
        <v>-0.10274650156497955</v>
      </c>
      <c r="D572">
        <v>-0.20444981753826141</v>
      </c>
      <c r="E572">
        <v>0.4607788622379303</v>
      </c>
      <c r="F572">
        <v>11.68509578704834</v>
      </c>
      <c r="G572">
        <v>118788</v>
      </c>
    </row>
    <row r="573" spans="1:7" x14ac:dyDescent="0.2">
      <c r="A573">
        <v>32304</v>
      </c>
      <c r="B573" t="s">
        <v>3264</v>
      </c>
      <c r="C573">
        <v>-3.2055068761110306E-2</v>
      </c>
      <c r="D573">
        <v>-0.10877538472414017</v>
      </c>
      <c r="E573">
        <v>0.36409559845924377</v>
      </c>
      <c r="F573">
        <v>11.684952735900879</v>
      </c>
      <c r="G573">
        <v>118771</v>
      </c>
    </row>
    <row r="574" spans="1:7" x14ac:dyDescent="0.2">
      <c r="A574">
        <v>25602</v>
      </c>
      <c r="B574" t="s">
        <v>3270</v>
      </c>
      <c r="C574">
        <v>-5.9047374874353409E-2</v>
      </c>
      <c r="D574">
        <v>-0.14134021103382111</v>
      </c>
      <c r="E574">
        <v>0.52855890989303589</v>
      </c>
      <c r="F574">
        <v>11.673248291015625</v>
      </c>
      <c r="G574">
        <v>117389</v>
      </c>
    </row>
    <row r="575" spans="1:7" x14ac:dyDescent="0.2">
      <c r="A575">
        <v>27006</v>
      </c>
      <c r="B575" t="s">
        <v>3265</v>
      </c>
      <c r="C575">
        <v>-0.12418700754642487</v>
      </c>
      <c r="D575">
        <v>-0.23131820559501648</v>
      </c>
      <c r="E575">
        <v>0.56441229581832886</v>
      </c>
      <c r="F575">
        <v>11.66690731048584</v>
      </c>
      <c r="G575">
        <v>116647</v>
      </c>
    </row>
    <row r="576" spans="1:7" x14ac:dyDescent="0.2">
      <c r="A576">
        <v>27503</v>
      </c>
      <c r="B576" t="s">
        <v>3269</v>
      </c>
      <c r="C576">
        <v>-5.0516579300165176E-2</v>
      </c>
      <c r="D576">
        <v>-0.12898945808410645</v>
      </c>
      <c r="E576">
        <v>0.54456830024719238</v>
      </c>
      <c r="F576">
        <v>11.66676139831543</v>
      </c>
      <c r="G576">
        <v>116630</v>
      </c>
    </row>
    <row r="577" spans="1:7" x14ac:dyDescent="0.2">
      <c r="A577">
        <v>20002</v>
      </c>
      <c r="B577" t="s">
        <v>3274</v>
      </c>
      <c r="C577">
        <v>-0.10813765227794647</v>
      </c>
      <c r="D577">
        <v>-0.21065796911716461</v>
      </c>
      <c r="E577">
        <v>0.52916187047958374</v>
      </c>
      <c r="F577">
        <v>11.622532844543457</v>
      </c>
      <c r="G577">
        <v>111584</v>
      </c>
    </row>
    <row r="578" spans="1:7" x14ac:dyDescent="0.2">
      <c r="A578">
        <v>24702</v>
      </c>
      <c r="B578" t="s">
        <v>3287</v>
      </c>
      <c r="C578">
        <v>-8.5943147540092468E-2</v>
      </c>
      <c r="D578">
        <v>-0.18005186319351196</v>
      </c>
      <c r="E578">
        <v>0.53828394412994385</v>
      </c>
      <c r="F578">
        <v>11.57240104675293</v>
      </c>
      <c r="G578">
        <v>106128</v>
      </c>
    </row>
    <row r="579" spans="1:7" x14ac:dyDescent="0.2">
      <c r="A579">
        <v>26702</v>
      </c>
      <c r="B579" t="s">
        <v>3276</v>
      </c>
      <c r="C579">
        <v>-2.3533601313829422E-2</v>
      </c>
      <c r="D579">
        <v>-8.9376106858253479E-2</v>
      </c>
      <c r="E579">
        <v>0.64534217119216919</v>
      </c>
      <c r="F579">
        <v>11.570429801940918</v>
      </c>
      <c r="G579">
        <v>105919</v>
      </c>
    </row>
    <row r="580" spans="1:7" x14ac:dyDescent="0.2">
      <c r="A580">
        <v>27902</v>
      </c>
      <c r="B580" t="s">
        <v>3282</v>
      </c>
      <c r="C580">
        <v>-7.6690644025802612E-2</v>
      </c>
      <c r="D580">
        <v>-0.1677033007144928</v>
      </c>
      <c r="E580">
        <v>0.52269279956817627</v>
      </c>
      <c r="F580">
        <v>11.566844940185547</v>
      </c>
      <c r="G580">
        <v>105540</v>
      </c>
    </row>
    <row r="581" spans="1:7" x14ac:dyDescent="0.2">
      <c r="A581">
        <v>32602</v>
      </c>
      <c r="B581" t="s">
        <v>3273</v>
      </c>
      <c r="C581">
        <v>-2.6808340102434158E-2</v>
      </c>
      <c r="D581">
        <v>-0.10004384070634842</v>
      </c>
      <c r="E581">
        <v>0.4597737193107605</v>
      </c>
      <c r="F581">
        <v>11.565081596374512</v>
      </c>
      <c r="G581">
        <v>105354</v>
      </c>
    </row>
    <row r="582" spans="1:7" x14ac:dyDescent="0.2">
      <c r="A582">
        <v>37903</v>
      </c>
      <c r="B582" t="s">
        <v>3280</v>
      </c>
      <c r="C582">
        <v>5.9992659837007523E-2</v>
      </c>
      <c r="D582">
        <v>2.4873897433280945E-2</v>
      </c>
      <c r="E582">
        <v>0.57645463943481445</v>
      </c>
      <c r="F582">
        <v>11.551607131958008</v>
      </c>
      <c r="G582">
        <v>103944</v>
      </c>
    </row>
    <row r="583" spans="1:7" x14ac:dyDescent="0.2">
      <c r="A583">
        <v>34201</v>
      </c>
      <c r="B583" t="s">
        <v>3281</v>
      </c>
      <c r="C583">
        <v>-8.931104838848114E-2</v>
      </c>
      <c r="D583">
        <v>-0.18541929125785828</v>
      </c>
      <c r="E583">
        <v>0.53259092569351196</v>
      </c>
      <c r="F583">
        <v>11.538944244384766</v>
      </c>
      <c r="G583">
        <v>102636</v>
      </c>
    </row>
    <row r="584" spans="1:7" x14ac:dyDescent="0.2">
      <c r="A584">
        <v>4001</v>
      </c>
      <c r="B584" t="s">
        <v>3277</v>
      </c>
      <c r="C584">
        <v>-5.8217409998178482E-2</v>
      </c>
      <c r="D584">
        <v>-0.14411252737045288</v>
      </c>
      <c r="E584">
        <v>0.4737744927406311</v>
      </c>
      <c r="F584">
        <v>11.521449089050293</v>
      </c>
      <c r="G584">
        <v>100856</v>
      </c>
    </row>
    <row r="585" spans="1:7" x14ac:dyDescent="0.2">
      <c r="A585">
        <v>3001</v>
      </c>
      <c r="B585" t="s">
        <v>3278</v>
      </c>
      <c r="C585">
        <v>-0.10270892083644867</v>
      </c>
      <c r="D585">
        <v>-0.20426838099956512</v>
      </c>
      <c r="E585">
        <v>0.53706628084182739</v>
      </c>
      <c r="F585">
        <v>11.520149230957031</v>
      </c>
      <c r="G585">
        <v>100725</v>
      </c>
    </row>
    <row r="586" spans="1:7" x14ac:dyDescent="0.2">
      <c r="A586">
        <v>37602</v>
      </c>
      <c r="B586" t="s">
        <v>3279</v>
      </c>
      <c r="C586">
        <v>5.8424759656190872E-2</v>
      </c>
      <c r="D586">
        <v>1.6889633610844612E-2</v>
      </c>
      <c r="E586">
        <v>0.41887772083282471</v>
      </c>
      <c r="F586">
        <v>11.503359794616699</v>
      </c>
      <c r="G586">
        <v>99048</v>
      </c>
    </row>
    <row r="587" spans="1:7" x14ac:dyDescent="0.2">
      <c r="A587">
        <v>36303</v>
      </c>
      <c r="B587" t="s">
        <v>3275</v>
      </c>
      <c r="C587">
        <v>4.8148814588785172E-2</v>
      </c>
      <c r="D587">
        <v>6.3108042813837528E-3</v>
      </c>
      <c r="E587">
        <v>0.53877204656600952</v>
      </c>
      <c r="F587">
        <v>11.496227264404297</v>
      </c>
      <c r="G587">
        <v>98344</v>
      </c>
    </row>
    <row r="588" spans="1:7" x14ac:dyDescent="0.2">
      <c r="A588">
        <v>27008</v>
      </c>
      <c r="B588" t="s">
        <v>3288</v>
      </c>
      <c r="C588">
        <v>-8.5602238774299622E-2</v>
      </c>
      <c r="D588">
        <v>-0.17876924574375153</v>
      </c>
      <c r="E588">
        <v>0.59963136911392212</v>
      </c>
      <c r="F588">
        <v>11.489195823669434</v>
      </c>
      <c r="G588">
        <v>97655</v>
      </c>
    </row>
    <row r="589" spans="1:7" x14ac:dyDescent="0.2">
      <c r="A589">
        <v>32403</v>
      </c>
      <c r="B589" t="s">
        <v>3289</v>
      </c>
      <c r="C589">
        <v>-6.8469494581222534E-2</v>
      </c>
      <c r="D589">
        <v>-0.16031235456466675</v>
      </c>
      <c r="E589">
        <v>0.43435877561569214</v>
      </c>
      <c r="F589">
        <v>11.479761123657227</v>
      </c>
      <c r="G589">
        <v>96738</v>
      </c>
    </row>
    <row r="590" spans="1:7" x14ac:dyDescent="0.2">
      <c r="A590">
        <v>27703</v>
      </c>
      <c r="B590" t="s">
        <v>3283</v>
      </c>
      <c r="C590">
        <v>-1.3520944863557816E-2</v>
      </c>
      <c r="D590">
        <v>-8.1153251230716705E-2</v>
      </c>
      <c r="E590">
        <v>0.50815188884735107</v>
      </c>
      <c r="F590">
        <v>11.47710132598877</v>
      </c>
      <c r="G590">
        <v>96481</v>
      </c>
    </row>
    <row r="591" spans="1:7" x14ac:dyDescent="0.2">
      <c r="A591">
        <v>30501</v>
      </c>
      <c r="B591" t="s">
        <v>3285</v>
      </c>
      <c r="C591">
        <v>-4.8954207450151443E-2</v>
      </c>
      <c r="D591">
        <v>-0.13251309096813202</v>
      </c>
      <c r="E591">
        <v>0.45851495862007141</v>
      </c>
      <c r="F591">
        <v>11.461358070373535</v>
      </c>
      <c r="G591">
        <v>94974</v>
      </c>
    </row>
    <row r="592" spans="1:7" x14ac:dyDescent="0.2">
      <c r="A592">
        <v>28002</v>
      </c>
      <c r="B592" t="s">
        <v>3284</v>
      </c>
      <c r="C592">
        <v>-8.9700445532798767E-2</v>
      </c>
      <c r="D592">
        <v>-0.18748576939105988</v>
      </c>
      <c r="E592">
        <v>0.52003961801528931</v>
      </c>
      <c r="F592">
        <v>11.460441589355469</v>
      </c>
      <c r="G592">
        <v>94887</v>
      </c>
    </row>
    <row r="593" spans="1:7" x14ac:dyDescent="0.2">
      <c r="A593">
        <v>27011</v>
      </c>
      <c r="B593" t="s">
        <v>3292</v>
      </c>
      <c r="C593">
        <v>-0.12174268066883087</v>
      </c>
      <c r="D593">
        <v>-0.22975914180278778</v>
      </c>
      <c r="E593">
        <v>0.60139679908752441</v>
      </c>
      <c r="F593">
        <v>11.451805114746094</v>
      </c>
      <c r="G593">
        <v>94071</v>
      </c>
    </row>
    <row r="594" spans="1:7" x14ac:dyDescent="0.2">
      <c r="A594">
        <v>34202</v>
      </c>
      <c r="B594" t="s">
        <v>3286</v>
      </c>
      <c r="C594">
        <v>-9.7274884581565857E-2</v>
      </c>
      <c r="D594">
        <v>-0.19723473489284515</v>
      </c>
      <c r="E594">
        <v>0.55341136455535889</v>
      </c>
      <c r="F594">
        <v>11.443318367004395</v>
      </c>
      <c r="G594">
        <v>93276</v>
      </c>
    </row>
    <row r="595" spans="1:7" x14ac:dyDescent="0.2">
      <c r="A595">
        <v>21003</v>
      </c>
      <c r="B595" t="s">
        <v>3291</v>
      </c>
      <c r="C595">
        <v>-7.8329727053642273E-2</v>
      </c>
      <c r="D595">
        <v>-0.16918265819549561</v>
      </c>
      <c r="E595">
        <v>0.60773575305938721</v>
      </c>
      <c r="F595">
        <v>11.429978370666504</v>
      </c>
      <c r="G595">
        <v>92040</v>
      </c>
    </row>
    <row r="596" spans="1:7" x14ac:dyDescent="0.2">
      <c r="A596">
        <v>22002</v>
      </c>
      <c r="B596" t="s">
        <v>3296</v>
      </c>
      <c r="C596">
        <v>-3.8010124117136002E-2</v>
      </c>
      <c r="D596">
        <v>-0.1157982349395752</v>
      </c>
      <c r="E596">
        <v>0.52793937921524048</v>
      </c>
      <c r="F596">
        <v>11.402764320373535</v>
      </c>
      <c r="G596">
        <v>89569</v>
      </c>
    </row>
    <row r="597" spans="1:7" x14ac:dyDescent="0.2">
      <c r="A597">
        <v>32604</v>
      </c>
      <c r="B597" t="s">
        <v>3300</v>
      </c>
      <c r="C597">
        <v>-3.9858300238847733E-2</v>
      </c>
      <c r="D597">
        <v>-0.12166687101125717</v>
      </c>
      <c r="E597">
        <v>0.42749097943305969</v>
      </c>
      <c r="F597">
        <v>11.400674819946289</v>
      </c>
      <c r="G597">
        <v>89382</v>
      </c>
    </row>
    <row r="598" spans="1:7" x14ac:dyDescent="0.2">
      <c r="A598">
        <v>8501</v>
      </c>
      <c r="B598" t="s">
        <v>3295</v>
      </c>
      <c r="C598">
        <v>-7.1443274617195129E-2</v>
      </c>
      <c r="D598">
        <v>-0.16628535091876984</v>
      </c>
      <c r="E598">
        <v>0.41639417409896851</v>
      </c>
      <c r="F598">
        <v>11.392902374267578</v>
      </c>
      <c r="G598">
        <v>88690</v>
      </c>
    </row>
    <row r="599" spans="1:7" x14ac:dyDescent="0.2">
      <c r="A599">
        <v>31501</v>
      </c>
      <c r="B599" t="s">
        <v>3298</v>
      </c>
      <c r="C599">
        <v>-1.5335042029619217E-2</v>
      </c>
      <c r="D599">
        <v>-8.7747201323509216E-2</v>
      </c>
      <c r="E599">
        <v>0.43422892689704895</v>
      </c>
      <c r="F599">
        <v>11.360100746154785</v>
      </c>
      <c r="G599">
        <v>85828</v>
      </c>
    </row>
    <row r="600" spans="1:7" x14ac:dyDescent="0.2">
      <c r="A600">
        <v>29101</v>
      </c>
      <c r="B600" t="s">
        <v>3293</v>
      </c>
      <c r="C600">
        <v>-0.11646266281604767</v>
      </c>
      <c r="D600">
        <v>-0.22585342824459076</v>
      </c>
      <c r="E600">
        <v>0.54022079706192017</v>
      </c>
      <c r="F600">
        <v>11.34681224822998</v>
      </c>
      <c r="G600">
        <v>84695</v>
      </c>
    </row>
    <row r="601" spans="1:7" x14ac:dyDescent="0.2">
      <c r="A601">
        <v>31006</v>
      </c>
      <c r="B601" t="s">
        <v>3290</v>
      </c>
      <c r="C601">
        <v>-7.5997471809387207E-2</v>
      </c>
      <c r="D601">
        <v>-0.17224915325641632</v>
      </c>
      <c r="E601">
        <v>0.45275267958641052</v>
      </c>
      <c r="F601">
        <v>11.338250160217285</v>
      </c>
      <c r="G601">
        <v>83973</v>
      </c>
    </row>
    <row r="602" spans="1:7" x14ac:dyDescent="0.2">
      <c r="A602">
        <v>3002</v>
      </c>
      <c r="B602" t="s">
        <v>3297</v>
      </c>
      <c r="C602">
        <v>-4.1787121444940567E-2</v>
      </c>
      <c r="D602">
        <v>-0.11948521435260773</v>
      </c>
      <c r="E602">
        <v>0.60719925165176392</v>
      </c>
      <c r="F602">
        <v>11.334037780761719</v>
      </c>
      <c r="G602">
        <v>83620</v>
      </c>
    </row>
    <row r="603" spans="1:7" x14ac:dyDescent="0.2">
      <c r="A603">
        <v>35202</v>
      </c>
      <c r="B603" t="s">
        <v>3299</v>
      </c>
      <c r="C603">
        <v>8.333694189786911E-3</v>
      </c>
      <c r="D603">
        <v>-4.8015732318162918E-2</v>
      </c>
      <c r="E603">
        <v>0.66552054882049561</v>
      </c>
      <c r="F603">
        <v>11.300400733947754</v>
      </c>
      <c r="G603">
        <v>80854</v>
      </c>
    </row>
    <row r="604" spans="1:7" x14ac:dyDescent="0.2">
      <c r="A604">
        <v>30902</v>
      </c>
      <c r="B604" t="s">
        <v>3310</v>
      </c>
      <c r="C604">
        <v>-2.6810158044099808E-2</v>
      </c>
      <c r="D604">
        <v>-0.10622432082891464</v>
      </c>
      <c r="E604">
        <v>0.38822123408317566</v>
      </c>
      <c r="F604">
        <v>11.293487548828125</v>
      </c>
      <c r="G604">
        <v>80297</v>
      </c>
    </row>
    <row r="605" spans="1:7" x14ac:dyDescent="0.2">
      <c r="A605">
        <v>3201</v>
      </c>
      <c r="B605" t="s">
        <v>3307</v>
      </c>
      <c r="C605">
        <v>-5.897863581776619E-2</v>
      </c>
      <c r="D605">
        <v>-0.15189734101295471</v>
      </c>
      <c r="E605">
        <v>0.36738362908363342</v>
      </c>
      <c r="F605">
        <v>11.291118621826172</v>
      </c>
      <c r="G605">
        <v>80107</v>
      </c>
    </row>
    <row r="606" spans="1:7" x14ac:dyDescent="0.2">
      <c r="A606">
        <v>26301</v>
      </c>
      <c r="B606" t="s">
        <v>3301</v>
      </c>
      <c r="C606">
        <v>-5.1771614700555801E-2</v>
      </c>
      <c r="D606">
        <v>-0.13469591736793518</v>
      </c>
      <c r="E606">
        <v>0.59256356954574585</v>
      </c>
      <c r="F606">
        <v>11.279112815856934</v>
      </c>
      <c r="G606">
        <v>79151</v>
      </c>
    </row>
    <row r="607" spans="1:7" x14ac:dyDescent="0.2">
      <c r="A607">
        <v>32302</v>
      </c>
      <c r="B607" t="s">
        <v>3294</v>
      </c>
      <c r="C607">
        <v>-6.868627667427063E-2</v>
      </c>
      <c r="D607">
        <v>-0.16393792629241943</v>
      </c>
      <c r="E607">
        <v>0.42170846462249756</v>
      </c>
      <c r="F607">
        <v>11.27476978302002</v>
      </c>
      <c r="G607">
        <v>78808</v>
      </c>
    </row>
    <row r="608" spans="1:7" x14ac:dyDescent="0.2">
      <c r="A608">
        <v>31404</v>
      </c>
      <c r="B608" t="s">
        <v>3308</v>
      </c>
      <c r="C608">
        <v>6.6224493086338043E-2</v>
      </c>
      <c r="D608">
        <v>2.1998856216669083E-2</v>
      </c>
      <c r="E608">
        <v>0.34315815567970276</v>
      </c>
      <c r="F608">
        <v>11.268366813659668</v>
      </c>
      <c r="G608">
        <v>78305</v>
      </c>
    </row>
    <row r="609" spans="1:7" x14ac:dyDescent="0.2">
      <c r="A609">
        <v>28503</v>
      </c>
      <c r="B609" t="s">
        <v>3302</v>
      </c>
      <c r="C609">
        <v>-8.8818028569221497E-2</v>
      </c>
      <c r="D609">
        <v>-0.18834072351455688</v>
      </c>
      <c r="E609">
        <v>0.54000258445739746</v>
      </c>
      <c r="F609">
        <v>11.267919540405273</v>
      </c>
      <c r="G609">
        <v>78270</v>
      </c>
    </row>
    <row r="610" spans="1:7" x14ac:dyDescent="0.2">
      <c r="A610">
        <v>26602</v>
      </c>
      <c r="B610" t="s">
        <v>3313</v>
      </c>
      <c r="C610">
        <v>-0.10182921588420868</v>
      </c>
      <c r="D610">
        <v>-0.20668835937976837</v>
      </c>
      <c r="E610">
        <v>0.5365375280380249</v>
      </c>
      <c r="F610">
        <v>11.264490127563477</v>
      </c>
      <c r="G610">
        <v>78002</v>
      </c>
    </row>
    <row r="611" spans="1:7" x14ac:dyDescent="0.2">
      <c r="A611">
        <v>16902</v>
      </c>
      <c r="B611" t="s">
        <v>3303</v>
      </c>
      <c r="C611">
        <v>-6.5486028790473938E-2</v>
      </c>
      <c r="D611">
        <v>-0.15833497047424316</v>
      </c>
      <c r="E611">
        <v>0.461944580078125</v>
      </c>
      <c r="F611">
        <v>11.262500762939453</v>
      </c>
      <c r="G611">
        <v>77847</v>
      </c>
    </row>
    <row r="612" spans="1:7" x14ac:dyDescent="0.2">
      <c r="A612">
        <v>28607</v>
      </c>
      <c r="B612" t="s">
        <v>3304</v>
      </c>
      <c r="C612">
        <v>-0.1063268631696701</v>
      </c>
      <c r="D612">
        <v>-0.21229362487792969</v>
      </c>
      <c r="E612">
        <v>0.56247729063034058</v>
      </c>
      <c r="F612">
        <v>11.253273963928223</v>
      </c>
      <c r="G612">
        <v>77132</v>
      </c>
    </row>
    <row r="613" spans="1:7" x14ac:dyDescent="0.2">
      <c r="A613">
        <v>26001</v>
      </c>
      <c r="B613" t="s">
        <v>3311</v>
      </c>
      <c r="C613">
        <v>-2.4528836365789175E-3</v>
      </c>
      <c r="D613">
        <v>-6.7594744265079498E-2</v>
      </c>
      <c r="E613">
        <v>0.55128157138824463</v>
      </c>
      <c r="F613">
        <v>11.244143486022949</v>
      </c>
      <c r="G613">
        <v>76431</v>
      </c>
    </row>
    <row r="614" spans="1:7" x14ac:dyDescent="0.2">
      <c r="A614">
        <v>31005</v>
      </c>
      <c r="B614" t="s">
        <v>3312</v>
      </c>
      <c r="C614">
        <v>-4.712449386715889E-2</v>
      </c>
      <c r="D614">
        <v>-0.13353663682937622</v>
      </c>
      <c r="E614">
        <v>0.44853341579437256</v>
      </c>
      <c r="F614">
        <v>11.232086181640625</v>
      </c>
      <c r="G614">
        <v>75515</v>
      </c>
    </row>
    <row r="615" spans="1:7" x14ac:dyDescent="0.2">
      <c r="A615">
        <v>4004</v>
      </c>
      <c r="B615" t="s">
        <v>3305</v>
      </c>
      <c r="C615">
        <v>-3.8490671664476395E-2</v>
      </c>
      <c r="D615">
        <v>-0.11965210735797882</v>
      </c>
      <c r="E615">
        <v>0.51574385166168213</v>
      </c>
      <c r="F615">
        <v>11.20661735534668</v>
      </c>
      <c r="G615">
        <v>73616</v>
      </c>
    </row>
    <row r="616" spans="1:7" x14ac:dyDescent="0.2">
      <c r="A616">
        <v>31502</v>
      </c>
      <c r="B616" t="s">
        <v>3314</v>
      </c>
      <c r="C616">
        <v>-1.1078331619501114E-2</v>
      </c>
      <c r="D616">
        <v>-8.1169508397579193E-2</v>
      </c>
      <c r="E616">
        <v>0.53742420673370361</v>
      </c>
      <c r="F616">
        <v>11.16888427734375</v>
      </c>
      <c r="G616">
        <v>70890</v>
      </c>
    </row>
    <row r="617" spans="1:7" x14ac:dyDescent="0.2">
      <c r="A617">
        <v>29201</v>
      </c>
      <c r="B617" t="s">
        <v>3306</v>
      </c>
      <c r="C617">
        <v>-4.7096509486436844E-2</v>
      </c>
      <c r="D617">
        <v>-0.13078533113002777</v>
      </c>
      <c r="E617">
        <v>0.56193578243255615</v>
      </c>
      <c r="F617">
        <v>11.164289474487305</v>
      </c>
      <c r="G617">
        <v>70565</v>
      </c>
    </row>
    <row r="618" spans="1:7" x14ac:dyDescent="0.2">
      <c r="A618">
        <v>4101</v>
      </c>
      <c r="B618" t="s">
        <v>3317</v>
      </c>
      <c r="C618">
        <v>-6.9639191031455994E-2</v>
      </c>
      <c r="D618">
        <v>-0.16642853617668152</v>
      </c>
      <c r="E618">
        <v>0.443563312292099</v>
      </c>
      <c r="F618">
        <v>11.143367767333984</v>
      </c>
      <c r="G618">
        <v>69104</v>
      </c>
    </row>
    <row r="619" spans="1:7" x14ac:dyDescent="0.2">
      <c r="A619">
        <v>27007</v>
      </c>
      <c r="B619" t="s">
        <v>3315</v>
      </c>
      <c r="C619">
        <v>-8.1870183348655701E-2</v>
      </c>
      <c r="D619">
        <v>-0.1808074414730072</v>
      </c>
      <c r="E619">
        <v>0.53141337633132935</v>
      </c>
      <c r="F619">
        <v>11.134209632873535</v>
      </c>
      <c r="G619">
        <v>68474</v>
      </c>
    </row>
    <row r="620" spans="1:7" x14ac:dyDescent="0.2">
      <c r="A620">
        <v>37603</v>
      </c>
      <c r="B620" t="s">
        <v>3316</v>
      </c>
      <c r="C620">
        <v>3.6552231758832932E-2</v>
      </c>
      <c r="D620">
        <v>-1.0499241761863232E-2</v>
      </c>
      <c r="E620">
        <v>0.68327432870864868</v>
      </c>
      <c r="F620">
        <v>11.124317169189453</v>
      </c>
      <c r="G620">
        <v>67800</v>
      </c>
    </row>
    <row r="621" spans="1:7" x14ac:dyDescent="0.2">
      <c r="A621">
        <v>28703</v>
      </c>
      <c r="B621" t="s">
        <v>3323</v>
      </c>
      <c r="C621">
        <v>-2.0054716616868973E-2</v>
      </c>
      <c r="D621">
        <v>-8.8759005069732666E-2</v>
      </c>
      <c r="E621">
        <v>0.72426354885101318</v>
      </c>
      <c r="F621">
        <v>11.09158992767334</v>
      </c>
      <c r="G621">
        <v>65617</v>
      </c>
    </row>
    <row r="622" spans="1:7" x14ac:dyDescent="0.2">
      <c r="A622">
        <v>28604</v>
      </c>
      <c r="B622" t="s">
        <v>3309</v>
      </c>
      <c r="C622">
        <v>-0.13395525515079498</v>
      </c>
      <c r="D622">
        <v>-0.2530476450920105</v>
      </c>
      <c r="E622">
        <v>0.5758291482925415</v>
      </c>
      <c r="F622">
        <v>11.072480201721191</v>
      </c>
      <c r="G622">
        <v>64375</v>
      </c>
    </row>
    <row r="623" spans="1:7" x14ac:dyDescent="0.2">
      <c r="A623">
        <v>31403</v>
      </c>
      <c r="B623" t="s">
        <v>3321</v>
      </c>
      <c r="C623">
        <v>6.3126996159553528E-2</v>
      </c>
      <c r="D623">
        <v>1.5776012092828751E-2</v>
      </c>
      <c r="E623">
        <v>0.37067705392837524</v>
      </c>
      <c r="F623">
        <v>11.072340965270996</v>
      </c>
      <c r="G623">
        <v>64366</v>
      </c>
    </row>
    <row r="624" spans="1:7" x14ac:dyDescent="0.2">
      <c r="A624">
        <v>36302</v>
      </c>
      <c r="B624" t="s">
        <v>3325</v>
      </c>
      <c r="C624">
        <v>-0.10661669075489044</v>
      </c>
      <c r="D624">
        <v>-0.2142883688211441</v>
      </c>
      <c r="E624">
        <v>0.59300768375396729</v>
      </c>
      <c r="F624">
        <v>11.071750640869141</v>
      </c>
      <c r="G624">
        <v>64328</v>
      </c>
    </row>
    <row r="625" spans="1:7" x14ac:dyDescent="0.2">
      <c r="A625">
        <v>34602</v>
      </c>
      <c r="B625" t="s">
        <v>3318</v>
      </c>
      <c r="C625">
        <v>2.1333795040845871E-2</v>
      </c>
      <c r="D625">
        <v>-3.6689285188913345E-2</v>
      </c>
      <c r="E625">
        <v>0.55652540922164917</v>
      </c>
      <c r="F625">
        <v>11.067294120788574</v>
      </c>
      <c r="G625">
        <v>64042</v>
      </c>
    </row>
    <row r="626" spans="1:7" x14ac:dyDescent="0.2">
      <c r="A626">
        <v>39301</v>
      </c>
      <c r="B626" t="s">
        <v>3329</v>
      </c>
      <c r="C626">
        <v>7.1904361248016357E-2</v>
      </c>
      <c r="D626">
        <v>3.4695778042078018E-2</v>
      </c>
      <c r="E626">
        <v>0.57925885915756226</v>
      </c>
      <c r="F626">
        <v>11.064652442932129</v>
      </c>
      <c r="G626">
        <v>63873</v>
      </c>
    </row>
    <row r="627" spans="1:7" x14ac:dyDescent="0.2">
      <c r="A627">
        <v>29001</v>
      </c>
      <c r="B627" t="s">
        <v>3319</v>
      </c>
      <c r="C627">
        <v>-9.8012432456016541E-2</v>
      </c>
      <c r="D627">
        <v>-0.20649330317974091</v>
      </c>
      <c r="E627">
        <v>0.4730379581451416</v>
      </c>
      <c r="F627">
        <v>11.047582626342773</v>
      </c>
      <c r="G627">
        <v>62792</v>
      </c>
    </row>
    <row r="628" spans="1:7" x14ac:dyDescent="0.2">
      <c r="A628">
        <v>3902</v>
      </c>
      <c r="B628" t="s">
        <v>3324</v>
      </c>
      <c r="C628">
        <v>-0.10860060155391693</v>
      </c>
      <c r="D628">
        <v>-0.22597090899944305</v>
      </c>
      <c r="E628">
        <v>0.33212956786155701</v>
      </c>
      <c r="F628">
        <v>11.039780616760254</v>
      </c>
      <c r="G628">
        <v>62304</v>
      </c>
    </row>
    <row r="629" spans="1:7" x14ac:dyDescent="0.2">
      <c r="A629">
        <v>32402</v>
      </c>
      <c r="B629" t="s">
        <v>3331</v>
      </c>
      <c r="C629">
        <v>-3.8947869092226028E-2</v>
      </c>
      <c r="D629">
        <v>-0.12621656060218811</v>
      </c>
      <c r="E629">
        <v>0.41524618864059448</v>
      </c>
      <c r="F629">
        <v>11.018825531005859</v>
      </c>
      <c r="G629">
        <v>61012</v>
      </c>
    </row>
    <row r="630" spans="1:7" x14ac:dyDescent="0.2">
      <c r="A630">
        <v>29506</v>
      </c>
      <c r="B630" t="s">
        <v>3326</v>
      </c>
      <c r="C630">
        <v>-0.12076158821582794</v>
      </c>
      <c r="D630">
        <v>-0.23976008594036102</v>
      </c>
      <c r="E630">
        <v>0.44299331307411194</v>
      </c>
      <c r="F630">
        <v>11.01274299621582</v>
      </c>
      <c r="G630">
        <v>60642</v>
      </c>
    </row>
    <row r="631" spans="1:7" x14ac:dyDescent="0.2">
      <c r="A631">
        <v>34502</v>
      </c>
      <c r="B631" t="s">
        <v>3320</v>
      </c>
      <c r="C631">
        <v>-9.1858372092247009E-2</v>
      </c>
      <c r="D631">
        <v>-0.19658485054969788</v>
      </c>
      <c r="E631">
        <v>0.52979499101638794</v>
      </c>
      <c r="F631">
        <v>11.010067939758301</v>
      </c>
      <c r="G631">
        <v>60480</v>
      </c>
    </row>
    <row r="632" spans="1:7" x14ac:dyDescent="0.2">
      <c r="A632">
        <v>31103</v>
      </c>
      <c r="B632" t="s">
        <v>3332</v>
      </c>
      <c r="C632">
        <v>1.2581091374158859E-2</v>
      </c>
      <c r="D632">
        <v>-5.5033639073371887E-2</v>
      </c>
      <c r="E632">
        <v>0.40348440408706665</v>
      </c>
      <c r="F632">
        <v>10.986359596252441</v>
      </c>
      <c r="G632">
        <v>59063</v>
      </c>
    </row>
    <row r="633" spans="1:7" x14ac:dyDescent="0.2">
      <c r="A633">
        <v>26802</v>
      </c>
      <c r="B633" t="s">
        <v>3327</v>
      </c>
      <c r="C633">
        <v>-2.2822964936494827E-2</v>
      </c>
      <c r="D633">
        <v>-9.9383190274238586E-2</v>
      </c>
      <c r="E633">
        <v>0.56236022710800171</v>
      </c>
      <c r="F633">
        <v>10.985496520996094</v>
      </c>
      <c r="G633">
        <v>59012</v>
      </c>
    </row>
    <row r="634" spans="1:7" x14ac:dyDescent="0.2">
      <c r="A634">
        <v>27704</v>
      </c>
      <c r="B634" t="s">
        <v>3322</v>
      </c>
      <c r="C634">
        <v>-0.12151162326335907</v>
      </c>
      <c r="D634">
        <v>-0.23760206997394562</v>
      </c>
      <c r="E634">
        <v>0.5569758415222168</v>
      </c>
      <c r="F634">
        <v>10.978404998779297</v>
      </c>
      <c r="G634">
        <v>58595</v>
      </c>
    </row>
    <row r="635" spans="1:7" x14ac:dyDescent="0.2">
      <c r="A635">
        <v>28701</v>
      </c>
      <c r="B635" t="s">
        <v>3338</v>
      </c>
      <c r="C635">
        <v>-6.5835148096084595E-2</v>
      </c>
      <c r="D635">
        <v>-0.15941952168941498</v>
      </c>
      <c r="E635">
        <v>0.57295459508895874</v>
      </c>
      <c r="F635">
        <v>10.967284202575684</v>
      </c>
      <c r="G635">
        <v>57947</v>
      </c>
    </row>
    <row r="636" spans="1:7" x14ac:dyDescent="0.2">
      <c r="A636">
        <v>20403</v>
      </c>
      <c r="B636" t="s">
        <v>3333</v>
      </c>
      <c r="C636">
        <v>4.6952512115240097E-2</v>
      </c>
      <c r="D636">
        <v>5.3082231897860765E-4</v>
      </c>
      <c r="E636">
        <v>0.65549749135971069</v>
      </c>
      <c r="F636">
        <v>10.940844535827637</v>
      </c>
      <c r="G636">
        <v>56435</v>
      </c>
    </row>
    <row r="637" spans="1:7" x14ac:dyDescent="0.2">
      <c r="A637">
        <v>31002</v>
      </c>
      <c r="B637" t="s">
        <v>3330</v>
      </c>
      <c r="C637">
        <v>4.4639669358730316E-3</v>
      </c>
      <c r="D637">
        <v>-6.5798521041870117E-2</v>
      </c>
      <c r="E637">
        <v>0.44372984766960144</v>
      </c>
      <c r="F637">
        <v>10.935443878173828</v>
      </c>
      <c r="G637">
        <v>56131</v>
      </c>
    </row>
    <row r="638" spans="1:7" x14ac:dyDescent="0.2">
      <c r="A638">
        <v>34401</v>
      </c>
      <c r="B638" t="s">
        <v>3110</v>
      </c>
      <c r="C638">
        <v>-2.3086700588464737E-2</v>
      </c>
      <c r="D638">
        <v>-9.7066812217235565E-2</v>
      </c>
      <c r="E638">
        <v>0.67076832056045532</v>
      </c>
      <c r="F638">
        <v>10.927178382873535</v>
      </c>
      <c r="G638">
        <v>55669</v>
      </c>
    </row>
    <row r="639" spans="1:7" x14ac:dyDescent="0.2">
      <c r="A639">
        <v>34902</v>
      </c>
      <c r="B639" t="s">
        <v>3328</v>
      </c>
      <c r="C639">
        <v>-0.14211554825305939</v>
      </c>
      <c r="D639">
        <v>-0.27077886462211609</v>
      </c>
      <c r="E639">
        <v>0.44744125008583069</v>
      </c>
      <c r="F639">
        <v>10.920184135437012</v>
      </c>
      <c r="G639">
        <v>55281</v>
      </c>
    </row>
    <row r="640" spans="1:7" x14ac:dyDescent="0.2">
      <c r="A640">
        <v>28305</v>
      </c>
      <c r="B640" t="s">
        <v>3337</v>
      </c>
      <c r="C640">
        <v>-7.5795352458953857E-2</v>
      </c>
      <c r="D640">
        <v>-0.17650175094604492</v>
      </c>
      <c r="E640">
        <v>0.50435954332351685</v>
      </c>
      <c r="F640">
        <v>10.901339530944824</v>
      </c>
      <c r="G640">
        <v>54249</v>
      </c>
    </row>
    <row r="641" spans="1:7" x14ac:dyDescent="0.2">
      <c r="A641">
        <v>27001</v>
      </c>
      <c r="B641" t="s">
        <v>3336</v>
      </c>
      <c r="C641">
        <v>-9.6087083220481873E-2</v>
      </c>
      <c r="D641">
        <v>-0.20536741614341736</v>
      </c>
      <c r="E641">
        <v>0.51890236139297485</v>
      </c>
      <c r="F641">
        <v>10.832793235778809</v>
      </c>
      <c r="G641">
        <v>50655</v>
      </c>
    </row>
    <row r="642" spans="1:7" x14ac:dyDescent="0.2">
      <c r="A642">
        <v>29202</v>
      </c>
      <c r="B642" t="s">
        <v>3335</v>
      </c>
      <c r="C642">
        <v>-7.8806623816490173E-2</v>
      </c>
      <c r="D642">
        <v>-0.17856152355670929</v>
      </c>
      <c r="E642">
        <v>0.6026650071144104</v>
      </c>
      <c r="F642">
        <v>10.828361511230469</v>
      </c>
      <c r="G642">
        <v>50431</v>
      </c>
    </row>
    <row r="643" spans="1:7" x14ac:dyDescent="0.2">
      <c r="A643">
        <v>26103</v>
      </c>
      <c r="B643" t="s">
        <v>3334</v>
      </c>
      <c r="C643">
        <v>-0.11558841168880463</v>
      </c>
      <c r="D643">
        <v>-0.23565717041492462</v>
      </c>
      <c r="E643">
        <v>0.44545942544937134</v>
      </c>
      <c r="F643">
        <v>10.786965370178223</v>
      </c>
      <c r="G643">
        <v>48386</v>
      </c>
    </row>
    <row r="644" spans="1:7" x14ac:dyDescent="0.2">
      <c r="A644">
        <v>34305</v>
      </c>
      <c r="B644" t="s">
        <v>3348</v>
      </c>
      <c r="C644">
        <v>-5.3760234266519547E-2</v>
      </c>
      <c r="D644">
        <v>-0.14735621213912964</v>
      </c>
      <c r="E644">
        <v>0.50832796096801758</v>
      </c>
      <c r="F644">
        <v>10.775847434997559</v>
      </c>
      <c r="G644">
        <v>47851</v>
      </c>
    </row>
    <row r="645" spans="1:7" x14ac:dyDescent="0.2">
      <c r="A645">
        <v>28603</v>
      </c>
      <c r="B645" t="s">
        <v>3352</v>
      </c>
      <c r="C645">
        <v>-0.13330666720867157</v>
      </c>
      <c r="D645">
        <v>-0.25495052337646484</v>
      </c>
      <c r="E645">
        <v>0.621085524559021</v>
      </c>
      <c r="F645">
        <v>10.771512031555176</v>
      </c>
      <c r="G645">
        <v>47644</v>
      </c>
    </row>
    <row r="646" spans="1:7" x14ac:dyDescent="0.2">
      <c r="A646">
        <v>28302</v>
      </c>
      <c r="B646" t="s">
        <v>3340</v>
      </c>
      <c r="C646">
        <v>-0.10037060081958771</v>
      </c>
      <c r="D646">
        <v>-0.21225914359092712</v>
      </c>
      <c r="E646">
        <v>0.53826028108596802</v>
      </c>
      <c r="F646">
        <v>10.724984169006348</v>
      </c>
      <c r="G646">
        <v>45478</v>
      </c>
    </row>
    <row r="647" spans="1:7" x14ac:dyDescent="0.2">
      <c r="A647">
        <v>36403</v>
      </c>
      <c r="B647" t="s">
        <v>3350</v>
      </c>
      <c r="C647">
        <v>-9.0384885668754578E-2</v>
      </c>
      <c r="D647">
        <v>-0.19689752161502838</v>
      </c>
      <c r="E647">
        <v>0.58224141597747803</v>
      </c>
      <c r="F647">
        <v>10.723465919494629</v>
      </c>
      <c r="G647">
        <v>45409</v>
      </c>
    </row>
    <row r="648" spans="1:7" x14ac:dyDescent="0.2">
      <c r="A648">
        <v>34302</v>
      </c>
      <c r="B648" t="s">
        <v>3342</v>
      </c>
      <c r="C648">
        <v>-3.0804305424680933E-5</v>
      </c>
      <c r="D648">
        <v>-7.1852125227451324E-2</v>
      </c>
      <c r="E648">
        <v>0.54408007860183716</v>
      </c>
      <c r="F648">
        <v>10.722650527954102</v>
      </c>
      <c r="G648">
        <v>45372</v>
      </c>
    </row>
    <row r="649" spans="1:7" x14ac:dyDescent="0.2">
      <c r="A649">
        <v>26601</v>
      </c>
      <c r="B649" t="s">
        <v>3346</v>
      </c>
      <c r="C649">
        <v>-5.6578446179628372E-2</v>
      </c>
      <c r="D649">
        <v>-0.14930926263332367</v>
      </c>
      <c r="E649">
        <v>0.59820652008056641</v>
      </c>
      <c r="F649">
        <v>10.710610389709473</v>
      </c>
      <c r="G649">
        <v>44829</v>
      </c>
    </row>
    <row r="650" spans="1:7" x14ac:dyDescent="0.2">
      <c r="A650">
        <v>26502</v>
      </c>
      <c r="B650" t="s">
        <v>3344</v>
      </c>
      <c r="C650">
        <v>-0.10019315779209137</v>
      </c>
      <c r="D650">
        <v>-0.21190504729747772</v>
      </c>
      <c r="E650">
        <v>0.55187088251113892</v>
      </c>
      <c r="F650">
        <v>10.701399803161621</v>
      </c>
      <c r="G650">
        <v>44418</v>
      </c>
    </row>
    <row r="651" spans="1:7" x14ac:dyDescent="0.2">
      <c r="A651">
        <v>26303</v>
      </c>
      <c r="B651" t="s">
        <v>3341</v>
      </c>
      <c r="C651">
        <v>1.0216739028692245E-2</v>
      </c>
      <c r="D651">
        <v>-5.4395735263824463E-2</v>
      </c>
      <c r="E651">
        <v>0.65042811632156372</v>
      </c>
      <c r="F651">
        <v>10.700544357299805</v>
      </c>
      <c r="G651">
        <v>44380</v>
      </c>
    </row>
    <row r="652" spans="1:7" x14ac:dyDescent="0.2">
      <c r="A652">
        <v>26104</v>
      </c>
      <c r="B652" t="s">
        <v>3339</v>
      </c>
      <c r="C652">
        <v>-0.12976346909999847</v>
      </c>
      <c r="D652">
        <v>-0.25629040598869324</v>
      </c>
      <c r="E652">
        <v>0.46824261546134949</v>
      </c>
      <c r="F652">
        <v>10.677292823791504</v>
      </c>
      <c r="G652">
        <v>43360</v>
      </c>
    </row>
    <row r="653" spans="1:7" x14ac:dyDescent="0.2">
      <c r="A653">
        <v>26408</v>
      </c>
      <c r="B653" t="s">
        <v>3355</v>
      </c>
      <c r="C653">
        <v>-6.5403342247009277E-2</v>
      </c>
      <c r="D653">
        <v>-0.16355091333389282</v>
      </c>
      <c r="E653">
        <v>0.5579603910446167</v>
      </c>
      <c r="F653">
        <v>10.668233871459961</v>
      </c>
      <c r="G653">
        <v>42969</v>
      </c>
    </row>
    <row r="654" spans="1:7" x14ac:dyDescent="0.2">
      <c r="A654">
        <v>26406</v>
      </c>
      <c r="B654" t="s">
        <v>3347</v>
      </c>
      <c r="C654">
        <v>-7.1421153843402863E-3</v>
      </c>
      <c r="D654">
        <v>-8.2262597978115082E-2</v>
      </c>
      <c r="E654">
        <v>0.56503766775131226</v>
      </c>
      <c r="F654">
        <v>10.641727447509766</v>
      </c>
      <c r="G654">
        <v>41845</v>
      </c>
    </row>
    <row r="655" spans="1:7" x14ac:dyDescent="0.2">
      <c r="A655">
        <v>34204</v>
      </c>
      <c r="B655" t="s">
        <v>3351</v>
      </c>
      <c r="C655">
        <v>-3.1179495181277161E-6</v>
      </c>
      <c r="D655">
        <v>-7.4139229953289032E-2</v>
      </c>
      <c r="E655">
        <v>0.51056975126266479</v>
      </c>
      <c r="F655">
        <v>10.635398864746094</v>
      </c>
      <c r="G655">
        <v>41581</v>
      </c>
    </row>
    <row r="656" spans="1:7" x14ac:dyDescent="0.2">
      <c r="A656">
        <v>26004</v>
      </c>
      <c r="B656" t="s">
        <v>3345</v>
      </c>
      <c r="C656">
        <v>-2.3447204381227493E-2</v>
      </c>
      <c r="D656">
        <v>-0.10710419714450836</v>
      </c>
      <c r="E656">
        <v>0.50750607252120972</v>
      </c>
      <c r="F656">
        <v>10.628618240356445</v>
      </c>
      <c r="G656">
        <v>41300</v>
      </c>
    </row>
    <row r="657" spans="1:7" x14ac:dyDescent="0.2">
      <c r="A657">
        <v>26105</v>
      </c>
      <c r="B657" t="s">
        <v>3360</v>
      </c>
      <c r="C657">
        <v>-0.14186282455921173</v>
      </c>
      <c r="D657">
        <v>-0.27466544508934021</v>
      </c>
      <c r="E657">
        <v>0.44783076643943787</v>
      </c>
      <c r="F657">
        <v>10.620887756347656</v>
      </c>
      <c r="G657">
        <v>40982</v>
      </c>
    </row>
    <row r="658" spans="1:7" x14ac:dyDescent="0.2">
      <c r="A658">
        <v>28504</v>
      </c>
      <c r="B658" t="s">
        <v>3359</v>
      </c>
      <c r="C658">
        <v>-4.6359572559595108E-2</v>
      </c>
      <c r="D658">
        <v>-0.14057019352912903</v>
      </c>
      <c r="E658">
        <v>0.46715381741523743</v>
      </c>
      <c r="F658">
        <v>10.619325637817383</v>
      </c>
      <c r="G658">
        <v>40918</v>
      </c>
    </row>
    <row r="659" spans="1:7" x14ac:dyDescent="0.2">
      <c r="A659">
        <v>30906</v>
      </c>
      <c r="B659" t="s">
        <v>3358</v>
      </c>
      <c r="C659">
        <v>2.0137096289545298E-3</v>
      </c>
      <c r="D659">
        <v>-7.3299147188663483E-2</v>
      </c>
      <c r="E659">
        <v>0.46844789385795593</v>
      </c>
      <c r="F659">
        <v>10.59220027923584</v>
      </c>
      <c r="G659">
        <v>39823</v>
      </c>
    </row>
    <row r="660" spans="1:7" x14ac:dyDescent="0.2">
      <c r="A660">
        <v>34307</v>
      </c>
      <c r="B660" t="s">
        <v>3349</v>
      </c>
      <c r="C660">
        <v>-6.2181580811738968E-2</v>
      </c>
      <c r="D660">
        <v>-0.16101372241973877</v>
      </c>
      <c r="E660">
        <v>0.5325615406036377</v>
      </c>
      <c r="F660">
        <v>10.587796211242676</v>
      </c>
      <c r="G660">
        <v>39648</v>
      </c>
    </row>
    <row r="661" spans="1:7" x14ac:dyDescent="0.2">
      <c r="A661">
        <v>28605</v>
      </c>
      <c r="B661" t="s">
        <v>3354</v>
      </c>
      <c r="C661">
        <v>-0.14431889355182648</v>
      </c>
      <c r="D661">
        <v>-0.2742743194103241</v>
      </c>
      <c r="E661">
        <v>0.58524203300476074</v>
      </c>
      <c r="F661">
        <v>10.576584815979004</v>
      </c>
      <c r="G661">
        <v>39206</v>
      </c>
    </row>
    <row r="662" spans="1:7" x14ac:dyDescent="0.2">
      <c r="A662">
        <v>34803</v>
      </c>
      <c r="B662" t="s">
        <v>3357</v>
      </c>
      <c r="C662">
        <v>-0.12563781440258026</v>
      </c>
      <c r="D662">
        <v>-0.25153306126594543</v>
      </c>
      <c r="E662">
        <v>0.48299616575241089</v>
      </c>
      <c r="F662">
        <v>10.572598457336426</v>
      </c>
      <c r="G662">
        <v>39050</v>
      </c>
    </row>
    <row r="663" spans="1:7" x14ac:dyDescent="0.2">
      <c r="A663">
        <v>27002</v>
      </c>
      <c r="B663" t="s">
        <v>3343</v>
      </c>
      <c r="C663">
        <v>-6.7918628454208374E-2</v>
      </c>
      <c r="D663">
        <v>-0.17003533244132996</v>
      </c>
      <c r="E663">
        <v>0.51681548357009888</v>
      </c>
      <c r="F663">
        <v>10.553153038024902</v>
      </c>
      <c r="G663">
        <v>38298</v>
      </c>
    </row>
    <row r="664" spans="1:7" x14ac:dyDescent="0.2">
      <c r="A664">
        <v>29007</v>
      </c>
      <c r="B664" t="s">
        <v>3356</v>
      </c>
      <c r="C664">
        <v>-0.12353082001209259</v>
      </c>
      <c r="D664">
        <v>-0.24506628513336182</v>
      </c>
      <c r="E664">
        <v>0.61238789558410645</v>
      </c>
      <c r="F664">
        <v>10.525300025939941</v>
      </c>
      <c r="G664">
        <v>37246</v>
      </c>
    </row>
    <row r="665" spans="1:7" x14ac:dyDescent="0.2">
      <c r="A665">
        <v>30603</v>
      </c>
      <c r="B665" t="s">
        <v>3353</v>
      </c>
      <c r="C665">
        <v>-0.12618757784366608</v>
      </c>
      <c r="D665">
        <v>-0.25226861238479614</v>
      </c>
      <c r="E665">
        <v>0.51296710968017578</v>
      </c>
      <c r="F665">
        <v>10.506546020507812</v>
      </c>
      <c r="G665">
        <v>36554</v>
      </c>
    </row>
    <row r="666" spans="1:7" x14ac:dyDescent="0.2">
      <c r="A666">
        <v>31003</v>
      </c>
      <c r="B666" t="s">
        <v>3362</v>
      </c>
      <c r="C666">
        <v>8.6920224130153656E-3</v>
      </c>
      <c r="D666">
        <v>-6.95076584815979E-2</v>
      </c>
      <c r="E666">
        <v>0.3559069037437439</v>
      </c>
      <c r="F666">
        <v>10.458779335021973</v>
      </c>
      <c r="G666">
        <v>34849</v>
      </c>
    </row>
    <row r="667" spans="1:7" x14ac:dyDescent="0.2">
      <c r="A667">
        <v>26409</v>
      </c>
      <c r="B667" t="s">
        <v>3361</v>
      </c>
      <c r="C667">
        <v>-8.200506865978241E-2</v>
      </c>
      <c r="D667">
        <v>-0.1920672208070755</v>
      </c>
      <c r="E667">
        <v>0.50753647089004517</v>
      </c>
      <c r="F667">
        <v>10.40946102142334</v>
      </c>
      <c r="G667">
        <v>33172</v>
      </c>
    </row>
    <row r="668" spans="1:7" x14ac:dyDescent="0.2">
      <c r="A668">
        <v>34501</v>
      </c>
      <c r="B668" t="s">
        <v>3365</v>
      </c>
      <c r="C668">
        <v>-5.3696800023317337E-2</v>
      </c>
      <c r="D668">
        <v>-0.15437857806682587</v>
      </c>
      <c r="E668">
        <v>0.45185926556587219</v>
      </c>
      <c r="F668">
        <v>10.404171943664551</v>
      </c>
      <c r="G668">
        <v>32997</v>
      </c>
    </row>
    <row r="669" spans="1:7" x14ac:dyDescent="0.2">
      <c r="A669">
        <v>39205</v>
      </c>
      <c r="B669" t="s">
        <v>3364</v>
      </c>
      <c r="C669">
        <v>-4.861927404999733E-2</v>
      </c>
      <c r="D669">
        <v>-0.14969803392887115</v>
      </c>
      <c r="E669">
        <v>0.40747353434562683</v>
      </c>
      <c r="F669">
        <v>10.335334777832031</v>
      </c>
      <c r="G669">
        <v>30802</v>
      </c>
    </row>
    <row r="670" spans="1:7" x14ac:dyDescent="0.2">
      <c r="A670">
        <v>35903</v>
      </c>
      <c r="B670" t="s">
        <v>3363</v>
      </c>
      <c r="C670">
        <v>6.195005401968956E-2</v>
      </c>
      <c r="D670">
        <v>8.8379243388772011E-3</v>
      </c>
      <c r="E670">
        <v>0.5339704155921936</v>
      </c>
      <c r="F670">
        <v>10.327316284179688</v>
      </c>
      <c r="G670">
        <v>30556</v>
      </c>
    </row>
    <row r="671" spans="1:7" x14ac:dyDescent="0.2">
      <c r="A671">
        <v>28601</v>
      </c>
      <c r="B671" t="s">
        <v>3367</v>
      </c>
      <c r="C671">
        <v>-8.9132264256477356E-2</v>
      </c>
      <c r="D671">
        <v>-0.20254199206829071</v>
      </c>
      <c r="E671">
        <v>0.55005335807800293</v>
      </c>
      <c r="F671">
        <v>10.276394844055176</v>
      </c>
      <c r="G671">
        <v>29039</v>
      </c>
    </row>
    <row r="672" spans="1:7" x14ac:dyDescent="0.2">
      <c r="A672">
        <v>28602</v>
      </c>
      <c r="B672" t="s">
        <v>3376</v>
      </c>
      <c r="C672">
        <v>-0.14269249141216278</v>
      </c>
      <c r="D672">
        <v>-0.27705702185630798</v>
      </c>
      <c r="E672">
        <v>0.58586114645004272</v>
      </c>
      <c r="F672">
        <v>10.219319343566895</v>
      </c>
      <c r="G672">
        <v>27428</v>
      </c>
    </row>
    <row r="673" spans="1:7" x14ac:dyDescent="0.2">
      <c r="A673">
        <v>27605</v>
      </c>
      <c r="B673" t="s">
        <v>3366</v>
      </c>
      <c r="C673">
        <v>-0.1034826785326004</v>
      </c>
      <c r="D673">
        <v>-0.22635279595851898</v>
      </c>
      <c r="E673">
        <v>0.47806233167648315</v>
      </c>
      <c r="F673">
        <v>10.176525115966797</v>
      </c>
      <c r="G673">
        <v>26279</v>
      </c>
    </row>
    <row r="674" spans="1:7" x14ac:dyDescent="0.2">
      <c r="A674">
        <v>39202</v>
      </c>
      <c r="B674" t="s">
        <v>3371</v>
      </c>
      <c r="C674">
        <v>-2.9016409069299698E-2</v>
      </c>
      <c r="D674">
        <v>-0.12323972582817078</v>
      </c>
      <c r="E674">
        <v>0.45536509156227112</v>
      </c>
      <c r="F674">
        <v>10.159794807434082</v>
      </c>
      <c r="G674">
        <v>25843</v>
      </c>
    </row>
    <row r="675" spans="1:7" x14ac:dyDescent="0.2">
      <c r="A675">
        <v>27004</v>
      </c>
      <c r="B675" t="s">
        <v>3372</v>
      </c>
      <c r="C675">
        <v>-0.10354916751384735</v>
      </c>
      <c r="D675">
        <v>-0.22382853925228119</v>
      </c>
      <c r="E675">
        <v>0.57085305452346802</v>
      </c>
      <c r="F675">
        <v>10.149057388305664</v>
      </c>
      <c r="G675">
        <v>25567</v>
      </c>
    </row>
    <row r="676" spans="1:7" x14ac:dyDescent="0.2">
      <c r="A676">
        <v>27009</v>
      </c>
      <c r="B676" t="s">
        <v>3369</v>
      </c>
      <c r="C676">
        <v>-0.13243325054645538</v>
      </c>
      <c r="D676">
        <v>-0.26636511087417603</v>
      </c>
      <c r="E676">
        <v>0.5140228271484375</v>
      </c>
      <c r="F676">
        <v>10.126431465148926</v>
      </c>
      <c r="G676">
        <v>24995</v>
      </c>
    </row>
    <row r="677" spans="1:7" x14ac:dyDescent="0.2">
      <c r="A677">
        <v>32303</v>
      </c>
      <c r="B677" t="s">
        <v>3375</v>
      </c>
      <c r="C677">
        <v>-5.0870034843683243E-2</v>
      </c>
      <c r="D677">
        <v>-0.15583711862564087</v>
      </c>
      <c r="E677">
        <v>0.41538462042808533</v>
      </c>
      <c r="F677">
        <v>10.106632232666016</v>
      </c>
      <c r="G677">
        <v>24505</v>
      </c>
    </row>
    <row r="678" spans="1:7" x14ac:dyDescent="0.2">
      <c r="A678">
        <v>28304</v>
      </c>
      <c r="B678" t="s">
        <v>3377</v>
      </c>
      <c r="C678">
        <v>-8.6212471127510071E-2</v>
      </c>
      <c r="D678">
        <v>-0.20021088421344757</v>
      </c>
      <c r="E678">
        <v>0.57549738883972168</v>
      </c>
      <c r="F678">
        <v>10.095181465148926</v>
      </c>
      <c r="G678">
        <v>24226</v>
      </c>
    </row>
    <row r="679" spans="1:7" x14ac:dyDescent="0.2">
      <c r="A679">
        <v>36503</v>
      </c>
      <c r="B679" t="s">
        <v>3373</v>
      </c>
      <c r="C679">
        <v>-6.101154163479805E-2</v>
      </c>
      <c r="D679">
        <v>-0.16772730648517609</v>
      </c>
      <c r="E679">
        <v>0.49771517515182495</v>
      </c>
      <c r="F679">
        <v>10.079665184020996</v>
      </c>
      <c r="G679">
        <v>23853</v>
      </c>
    </row>
    <row r="680" spans="1:7" x14ac:dyDescent="0.2">
      <c r="A680">
        <v>36502</v>
      </c>
      <c r="B680" t="s">
        <v>3368</v>
      </c>
      <c r="C680">
        <v>-4.2556200176477432E-2</v>
      </c>
      <c r="D680">
        <v>-0.14174135029315948</v>
      </c>
      <c r="E680">
        <v>0.51100116968154907</v>
      </c>
      <c r="F680">
        <v>10.062710762023926</v>
      </c>
      <c r="G680">
        <v>23452</v>
      </c>
    </row>
    <row r="681" spans="1:7" x14ac:dyDescent="0.2">
      <c r="A681">
        <v>35803</v>
      </c>
      <c r="B681" t="s">
        <v>3370</v>
      </c>
      <c r="C681">
        <v>-9.7404375672340393E-2</v>
      </c>
      <c r="D681">
        <v>-0.22064328193664551</v>
      </c>
      <c r="E681">
        <v>0.44838178157806396</v>
      </c>
      <c r="F681">
        <v>10.048107147216797</v>
      </c>
      <c r="G681">
        <v>23112</v>
      </c>
    </row>
    <row r="682" spans="1:7" x14ac:dyDescent="0.2">
      <c r="A682">
        <v>27003</v>
      </c>
      <c r="B682" t="s">
        <v>3374</v>
      </c>
      <c r="C682">
        <v>-0.11213798820972443</v>
      </c>
      <c r="D682">
        <v>-0.24004696309566498</v>
      </c>
      <c r="E682">
        <v>0.53651177883148193</v>
      </c>
      <c r="F682">
        <v>9.9308595657348633</v>
      </c>
      <c r="G682">
        <v>20555</v>
      </c>
    </row>
    <row r="683" spans="1:7" x14ac:dyDescent="0.2">
      <c r="A683">
        <v>26411</v>
      </c>
      <c r="B683" t="s">
        <v>3378</v>
      </c>
      <c r="C683">
        <v>-5.3630832582712173E-2</v>
      </c>
      <c r="D683">
        <v>-0.16340534389019012</v>
      </c>
      <c r="E683">
        <v>0.54719817638397217</v>
      </c>
      <c r="F683">
        <v>9.5448818206787109</v>
      </c>
      <c r="G683">
        <v>13973</v>
      </c>
    </row>
    <row r="684" spans="1:7" x14ac:dyDescent="0.2">
      <c r="A684">
        <v>26203</v>
      </c>
      <c r="B684" t="s">
        <v>3379</v>
      </c>
      <c r="C684">
        <v>-8.0724246799945831E-3</v>
      </c>
      <c r="D684">
        <v>-0.10213352739810944</v>
      </c>
      <c r="E684">
        <v>0.54718101024627686</v>
      </c>
      <c r="F684">
        <v>9.3754310607910156</v>
      </c>
      <c r="G684">
        <v>11795</v>
      </c>
    </row>
    <row r="685" spans="1:7" x14ac:dyDescent="0.2">
      <c r="A685">
        <v>27602</v>
      </c>
      <c r="B685" t="s">
        <v>3380</v>
      </c>
      <c r="C685">
        <v>-5.2140478044748306E-2</v>
      </c>
      <c r="D685">
        <v>-0.16948921978473663</v>
      </c>
      <c r="E685">
        <v>0.53446143865585327</v>
      </c>
      <c r="F685">
        <v>8.9991254806518555</v>
      </c>
      <c r="G685">
        <v>8096</v>
      </c>
    </row>
    <row r="686" spans="1:7" x14ac:dyDescent="0.2">
      <c r="A686">
        <v>20402</v>
      </c>
      <c r="B686" t="s">
        <v>3381</v>
      </c>
      <c r="C686">
        <v>0.13929720222949982</v>
      </c>
      <c r="D686">
        <v>9.9886506795883179E-2</v>
      </c>
      <c r="E686">
        <v>0.72010642290115356</v>
      </c>
      <c r="F686">
        <v>8.7016792297363281</v>
      </c>
      <c r="G686">
        <v>6013</v>
      </c>
    </row>
    <row r="687" spans="1:7" x14ac:dyDescent="0.2">
      <c r="A687">
        <v>26604</v>
      </c>
      <c r="B687" t="s">
        <v>3382</v>
      </c>
      <c r="C687">
        <v>-0.15169356763362885</v>
      </c>
      <c r="D687">
        <v>-0.31145179271697998</v>
      </c>
      <c r="E687">
        <v>0.6071428656578064</v>
      </c>
      <c r="F687">
        <v>8.6355094909667969</v>
      </c>
      <c r="G687">
        <v>5628</v>
      </c>
    </row>
    <row r="688" spans="1:7" x14ac:dyDescent="0.2">
      <c r="A688">
        <v>32503</v>
      </c>
      <c r="B688" t="s">
        <v>3384</v>
      </c>
      <c r="C688">
        <v>-6.2221039086580276E-2</v>
      </c>
      <c r="D688">
        <v>-0.19094383716583252</v>
      </c>
      <c r="E688">
        <v>0.482587069272995</v>
      </c>
      <c r="F688">
        <v>8.5991420745849609</v>
      </c>
      <c r="G688">
        <v>5427</v>
      </c>
    </row>
    <row r="689" spans="1:7" x14ac:dyDescent="0.2">
      <c r="A689">
        <v>26302</v>
      </c>
      <c r="B689" t="s">
        <v>3383</v>
      </c>
      <c r="C689">
        <v>-5.6737083941698074E-2</v>
      </c>
      <c r="D689">
        <v>-0.18359033763408661</v>
      </c>
      <c r="E689">
        <v>0.47694310545921326</v>
      </c>
      <c r="F689">
        <v>8.5900716781616211</v>
      </c>
      <c r="G689">
        <v>5378</v>
      </c>
    </row>
    <row r="690" spans="1:7" x14ac:dyDescent="0.2">
      <c r="A690">
        <v>27603</v>
      </c>
      <c r="B690" t="s">
        <v>3386</v>
      </c>
      <c r="C690">
        <v>-0.13193477690219879</v>
      </c>
      <c r="D690">
        <v>-0.28802973031997681</v>
      </c>
      <c r="E690">
        <v>0.54380166530609131</v>
      </c>
      <c r="F690">
        <v>8.4846696853637695</v>
      </c>
      <c r="G690">
        <v>4840</v>
      </c>
    </row>
    <row r="691" spans="1:7" x14ac:dyDescent="0.2">
      <c r="A691">
        <v>29103</v>
      </c>
      <c r="B691" t="s">
        <v>3385</v>
      </c>
      <c r="C691">
        <v>-0.13561062514781952</v>
      </c>
      <c r="D691">
        <v>-0.29757505655288696</v>
      </c>
      <c r="E691">
        <v>0.425467848777771</v>
      </c>
      <c r="F691">
        <v>8.4444074630737305</v>
      </c>
      <c r="G691">
        <v>4649</v>
      </c>
    </row>
    <row r="692" spans="1:7" x14ac:dyDescent="0.2">
      <c r="A692">
        <v>26003</v>
      </c>
      <c r="B692" t="s">
        <v>3387</v>
      </c>
      <c r="C692">
        <v>-3.4219387453049421E-4</v>
      </c>
      <c r="D692">
        <v>-0.11031091958284378</v>
      </c>
      <c r="E692">
        <v>0.46572041511535645</v>
      </c>
      <c r="F692">
        <v>8.2252349853515625</v>
      </c>
      <c r="G692">
        <v>3734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40</vt:i4>
      </vt:variant>
      <vt:variant>
        <vt:lpstr>Named Ranges</vt:lpstr>
      </vt:variant>
      <vt:variant>
        <vt:i4>18</vt:i4>
      </vt:variant>
    </vt:vector>
  </HeadingPairs>
  <TitlesOfParts>
    <vt:vector size="58" baseType="lpstr">
      <vt:lpstr>Key</vt:lpstr>
      <vt:lpstr>T1</vt:lpstr>
      <vt:lpstr>T2</vt:lpstr>
      <vt:lpstr>T3</vt:lpstr>
      <vt:lpstr>T4</vt:lpstr>
      <vt:lpstr>T5</vt:lpstr>
      <vt:lpstr>T6</vt:lpstr>
      <vt:lpstr>T7</vt:lpstr>
      <vt:lpstr>T8</vt:lpstr>
      <vt:lpstr>T9</vt:lpstr>
      <vt:lpstr>T10</vt:lpstr>
      <vt:lpstr>T11</vt:lpstr>
      <vt:lpstr>AT1</vt:lpstr>
      <vt:lpstr>AT2</vt:lpstr>
      <vt:lpstr>AT3</vt:lpstr>
      <vt:lpstr>AT4</vt:lpstr>
      <vt:lpstr>AT5</vt:lpstr>
      <vt:lpstr>AT6</vt:lpstr>
      <vt:lpstr>AT7</vt:lpstr>
      <vt:lpstr>disc7.1</vt:lpstr>
      <vt:lpstr>disc7.2</vt:lpstr>
      <vt:lpstr>disc7.3</vt:lpstr>
      <vt:lpstr>disc7.4</vt:lpstr>
      <vt:lpstr>disc7.5</vt:lpstr>
      <vt:lpstr>disc7.6</vt:lpstr>
      <vt:lpstr>disc7.7</vt:lpstr>
      <vt:lpstr>disc7.14</vt:lpstr>
      <vt:lpstr>disc7.15</vt:lpstr>
      <vt:lpstr>disc7.16</vt:lpstr>
      <vt:lpstr>disc7.17</vt:lpstr>
      <vt:lpstr>disc7.18</vt:lpstr>
      <vt:lpstr>disc7.19</vt:lpstr>
      <vt:lpstr>disc7.20</vt:lpstr>
      <vt:lpstr>disc9.1</vt:lpstr>
      <vt:lpstr>disc9.5</vt:lpstr>
      <vt:lpstr>apptab1</vt:lpstr>
      <vt:lpstr>apptab2</vt:lpstr>
      <vt:lpstr>apptab7</vt:lpstr>
      <vt:lpstr>tab6_external</vt:lpstr>
      <vt:lpstr>atab3_full</vt:lpstr>
      <vt:lpstr>'AT1'!Print_Area</vt:lpstr>
      <vt:lpstr>'AT2'!Print_Area</vt:lpstr>
      <vt:lpstr>'AT3'!Print_Area</vt:lpstr>
      <vt:lpstr>'AT4'!Print_Area</vt:lpstr>
      <vt:lpstr>'AT5'!Print_Area</vt:lpstr>
      <vt:lpstr>'AT6'!Print_Area</vt:lpstr>
      <vt:lpstr>'AT7'!Print_Area</vt:lpstr>
      <vt:lpstr>'T1'!Print_Area</vt:lpstr>
      <vt:lpstr>'T10'!Print_Area</vt:lpstr>
      <vt:lpstr>'T11'!Print_Area</vt:lpstr>
      <vt:lpstr>'T2'!Print_Area</vt:lpstr>
      <vt:lpstr>'T3'!Print_Area</vt:lpstr>
      <vt:lpstr>'T4'!Print_Area</vt:lpstr>
      <vt:lpstr>'T5'!Print_Area</vt:lpstr>
      <vt:lpstr>'T6'!Print_Area</vt:lpstr>
      <vt:lpstr>'T7'!Print_Area</vt:lpstr>
      <vt:lpstr>'T8'!Print_Area</vt:lpstr>
      <vt:lpstr>'T9'!Print_Area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Jesse</dc:creator>
  <cp:lastModifiedBy>Jesse</cp:lastModifiedBy>
  <cp:lastPrinted>2023-08-11T20:08:12Z</cp:lastPrinted>
  <dcterms:created xsi:type="dcterms:W3CDTF">2023-05-18T23:33:28Z</dcterms:created>
  <dcterms:modified xsi:type="dcterms:W3CDTF">2023-09-21T16:59:16Z</dcterms:modified>
</cp:coreProperties>
</file>