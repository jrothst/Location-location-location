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isesyi/Library/CloudStorage/Dropbox/projects/puerto rico/aej-applied/replication/v2/postdisclosure/disclosed/"/>
    </mc:Choice>
  </mc:AlternateContent>
  <xr:revisionPtr revIDLastSave="0" documentId="13_ncr:1_{841DC51F-775B-C34E-A775-253B799E743F}" xr6:coauthVersionLast="47" xr6:coauthVersionMax="47" xr10:uidLastSave="{00000000-0000-0000-0000-000000000000}"/>
  <bookViews>
    <workbookView xWindow="20720" yWindow="660" windowWidth="17420" windowHeight="16080" tabRatio="1000" firstSheet="14" activeTab="22" xr2:uid="{00000000-000D-0000-FFFF-FFFF00000000}"/>
  </bookViews>
  <sheets>
    <sheet name="1" sheetId="8" r:id="rId1"/>
    <sheet name="2" sheetId="1" r:id="rId2"/>
    <sheet name="3" sheetId="2" r:id="rId3"/>
    <sheet name="4" sheetId="3" r:id="rId4"/>
    <sheet name="5" sheetId="9" r:id="rId5"/>
    <sheet name="6" sheetId="10" r:id="rId6"/>
    <sheet name="7" sheetId="14" r:id="rId7"/>
    <sheet name="8" sheetId="4" r:id="rId8"/>
    <sheet name="9" sheetId="5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0" l="1"/>
  <c r="N7" i="20"/>
  <c r="N10" i="20"/>
  <c r="N13" i="20"/>
  <c r="N15" i="20"/>
  <c r="N17" i="20"/>
  <c r="N6" i="20"/>
  <c r="M19" i="20"/>
  <c r="M15" i="20"/>
  <c r="M13" i="20"/>
  <c r="M17" i="20"/>
  <c r="J5" i="20"/>
  <c r="J11" i="20" s="1"/>
  <c r="G9" i="1"/>
  <c r="F9" i="1"/>
  <c r="B28" i="1"/>
  <c r="B26" i="1"/>
  <c r="B24" i="1"/>
  <c r="B23" i="1"/>
  <c r="J16" i="20" l="1"/>
  <c r="J14" i="20"/>
  <c r="J20" i="20"/>
  <c r="J12" i="20"/>
  <c r="J18" i="20"/>
  <c r="J10" i="20"/>
  <c r="M10" i="20" s="1"/>
  <c r="J17" i="20"/>
  <c r="J9" i="20"/>
  <c r="J8" i="20"/>
  <c r="J15" i="20"/>
  <c r="J7" i="20"/>
  <c r="M7" i="20" s="1"/>
  <c r="M5" i="20"/>
  <c r="J6" i="20"/>
  <c r="J13" i="20"/>
  <c r="J19" i="20"/>
  <c r="B12" i="14"/>
  <c r="A13" i="14"/>
  <c r="M6" i="20" l="1"/>
  <c r="C22" i="2"/>
  <c r="C10" i="2"/>
  <c r="C29" i="2"/>
  <c r="C28" i="2"/>
  <c r="C26" i="2"/>
  <c r="C25" i="2"/>
  <c r="C23" i="2"/>
  <c r="C11" i="2"/>
  <c r="B17" i="2"/>
  <c r="B14" i="2"/>
  <c r="B20" i="2"/>
  <c r="B11" i="2"/>
  <c r="L4" i="25"/>
  <c r="K4" i="25"/>
  <c r="J4" i="25"/>
  <c r="I4" i="25"/>
  <c r="H4" i="25"/>
  <c r="A1" i="28"/>
  <c r="B3" i="28"/>
  <c r="A3" i="28"/>
  <c r="B3" i="27"/>
  <c r="A1" i="27"/>
  <c r="A3" i="27"/>
  <c r="A5" i="27"/>
  <c r="A8" i="27"/>
  <c r="A11" i="27"/>
  <c r="A13" i="27"/>
  <c r="G4" i="25" l="1"/>
  <c r="F4" i="25"/>
  <c r="A1" i="25"/>
  <c r="A37" i="24"/>
  <c r="A18" i="24"/>
  <c r="A37" i="23"/>
  <c r="A18" i="23"/>
  <c r="E11" i="21"/>
  <c r="B11" i="21"/>
  <c r="A8" i="21"/>
  <c r="A7" i="21"/>
  <c r="A5" i="21"/>
  <c r="A4" i="21"/>
  <c r="A1" i="21"/>
  <c r="A12" i="19"/>
  <c r="A11" i="19"/>
  <c r="A8" i="19"/>
  <c r="A7" i="19"/>
  <c r="G6" i="19"/>
  <c r="F6" i="19"/>
  <c r="E6" i="19"/>
  <c r="D6" i="19"/>
  <c r="C6" i="19"/>
  <c r="B6" i="19"/>
  <c r="A6" i="19"/>
  <c r="A11" i="8" l="1"/>
  <c r="B19" i="10"/>
  <c r="B18" i="10"/>
  <c r="F15" i="3"/>
  <c r="E15" i="3"/>
  <c r="D15" i="3"/>
  <c r="C15" i="3"/>
  <c r="B15" i="3"/>
  <c r="F14" i="3"/>
  <c r="E14" i="3"/>
  <c r="D14" i="3"/>
  <c r="C14" i="3"/>
  <c r="B14" i="3"/>
  <c r="F10" i="3"/>
  <c r="F9" i="3"/>
  <c r="E7" i="3"/>
  <c r="E6" i="3"/>
  <c r="F6" i="3"/>
  <c r="A1" i="14" l="1"/>
  <c r="A10" i="14"/>
  <c r="C7" i="14"/>
  <c r="B7" i="14"/>
  <c r="A7" i="14"/>
  <c r="F6" i="14"/>
  <c r="E6" i="14"/>
  <c r="D6" i="14"/>
  <c r="C6" i="14"/>
  <c r="B6" i="14"/>
  <c r="A6" i="14"/>
  <c r="A1" i="10" l="1"/>
  <c r="A14" i="10" l="1"/>
  <c r="A4" i="10"/>
  <c r="A3" i="10"/>
  <c r="A16" i="9" l="1"/>
  <c r="A13" i="3"/>
  <c r="E10" i="3"/>
  <c r="D10" i="3"/>
  <c r="C10" i="3"/>
  <c r="B10" i="3"/>
  <c r="E9" i="3"/>
  <c r="D9" i="3"/>
  <c r="C9" i="3"/>
  <c r="B9" i="3"/>
  <c r="F7" i="3"/>
  <c r="D7" i="3"/>
  <c r="C7" i="3"/>
  <c r="B7" i="3"/>
  <c r="D6" i="3"/>
  <c r="C6" i="3"/>
  <c r="B6" i="3"/>
  <c r="A32" i="2" l="1"/>
  <c r="B29" i="2"/>
  <c r="A29" i="2"/>
  <c r="B28" i="2"/>
  <c r="A28" i="2"/>
  <c r="B26" i="2"/>
  <c r="A26" i="2"/>
  <c r="B25" i="2"/>
  <c r="A25" i="2"/>
  <c r="B23" i="2"/>
  <c r="A23" i="2"/>
  <c r="B22" i="2"/>
  <c r="A22" i="2"/>
  <c r="C20" i="2"/>
  <c r="A20" i="2"/>
  <c r="C19" i="2"/>
  <c r="A19" i="2"/>
  <c r="C17" i="2"/>
  <c r="A17" i="2"/>
  <c r="C16" i="2"/>
  <c r="A16" i="2"/>
  <c r="C14" i="2"/>
  <c r="A14" i="2"/>
  <c r="C13" i="2"/>
  <c r="A13" i="2"/>
  <c r="A11" i="2"/>
  <c r="A10" i="2"/>
  <c r="C7" i="2"/>
  <c r="B7" i="2"/>
  <c r="A7" i="2"/>
  <c r="A18" i="1" l="1"/>
  <c r="F3" i="8" l="1"/>
  <c r="F6" i="8" l="1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0" i="8"/>
  <c r="A9" i="8"/>
  <c r="A8" i="8"/>
  <c r="E6" i="8"/>
  <c r="D6" i="8"/>
  <c r="C6" i="8"/>
  <c r="B6" i="8"/>
  <c r="A6" i="8"/>
  <c r="A5" i="8"/>
  <c r="E3" i="8"/>
  <c r="D3" i="8"/>
  <c r="C3" i="8"/>
  <c r="B3" i="8"/>
  <c r="A3" i="8"/>
</calcChain>
</file>

<file path=xl/sharedStrings.xml><?xml version="1.0" encoding="utf-8"?>
<sst xmlns="http://schemas.openxmlformats.org/spreadsheetml/2006/main" count="780" uniqueCount="607">
  <si>
    <t xml:space="preserve">Regression coefficients on experience regressors in alternative AKM model specifications </t>
  </si>
  <si>
    <t>coefficients on:</t>
  </si>
  <si>
    <t>CZ</t>
  </si>
  <si>
    <t>Person-quarter</t>
  </si>
  <si>
    <t xml:space="preserve">Models for $ \Psi_{jc} $ </t>
  </si>
  <si>
    <t>sjc</t>
  </si>
  <si>
    <t>R-squared</t>
  </si>
  <si>
    <t>RMSE</t>
  </si>
  <si>
    <t>CZ effects</t>
  </si>
  <si>
    <t>Industry effects</t>
  </si>
  <si>
    <t>CZ + industry effects</t>
  </si>
  <si>
    <t>CZ+ind effects + sjc</t>
  </si>
  <si>
    <t>CZ+ind effects + ln(njc)</t>
  </si>
  <si>
    <t>ln(njc)</t>
  </si>
  <si>
    <t>SD &amp; Var%</t>
  </si>
  <si>
    <t>y (sd)</t>
  </si>
  <si>
    <t>SD(dependent variable)</t>
  </si>
  <si>
    <t>var(A) share</t>
  </si>
  <si>
    <t>var(B) share</t>
  </si>
  <si>
    <t>var(C) share</t>
  </si>
  <si>
    <t>var(D) share</t>
  </si>
  <si>
    <t>cov(A,B) share</t>
  </si>
  <si>
    <t>cov(A,C) share</t>
  </si>
  <si>
    <t>cov(A,D) share</t>
  </si>
  <si>
    <t>cov(B,C) share</t>
  </si>
  <si>
    <t>cov(B,D) share</t>
  </si>
  <si>
    <t>cov(C,D) share</t>
  </si>
  <si>
    <t>pe - variance share</t>
  </si>
  <si>
    <t>fe  - variance share</t>
  </si>
  <si>
    <t>xb  - variance share</t>
  </si>
  <si>
    <t>r  - variance share</t>
  </si>
  <si>
    <t>cov(pe,fe)  - variance share</t>
  </si>
  <si>
    <t>cov(pe,xb)   - variance share</t>
  </si>
  <si>
    <t>cov(pe,r)  - variance share</t>
  </si>
  <si>
    <t>cov(fe,xb)  - variance share</t>
  </si>
  <si>
    <t>cov(fe,r)  - variance share</t>
  </si>
  <si>
    <t>cov(xb,r)  - variance share</t>
  </si>
  <si>
    <t>lne</t>
  </si>
  <si>
    <t>(10.78)</t>
  </si>
  <si>
    <t>(.4993)</t>
  </si>
  <si>
    <t>Output 1: Descriptive Table</t>
  </si>
  <si>
    <t>Sample 8</t>
  </si>
  <si>
    <t>Event study sample - firm</t>
  </si>
  <si>
    <t>Event study sample - CZ</t>
  </si>
  <si>
    <t>Sample 9</t>
  </si>
  <si>
    <t>Sample 10</t>
  </si>
  <si>
    <t>CZ stayers subgroup</t>
  </si>
  <si>
    <t>CZ movers subgroup</t>
  </si>
  <si>
    <t>young subgroup</t>
  </si>
  <si>
    <t>Number of CZ-industries</t>
  </si>
  <si>
    <t>Variance decompositions of fe_c</t>
  </si>
  <si>
    <t>(2-digit industries)</t>
  </si>
  <si>
    <t>(4-digit industries)</t>
  </si>
  <si>
    <t>y</t>
  </si>
  <si>
    <t>pe</t>
  </si>
  <si>
    <t>fe</t>
  </si>
  <si>
    <t>sdpe</t>
  </si>
  <si>
    <t>pedec1</t>
  </si>
  <si>
    <t>pedec10</t>
  </si>
  <si>
    <t>Number of unique workers</t>
  </si>
  <si>
    <t>Number of person-quarter observations</t>
  </si>
  <si>
    <t>y_c</t>
  </si>
  <si>
    <t>lnN_c</t>
  </si>
  <si>
    <t>educ_c</t>
  </si>
  <si>
    <t>phi_c_B</t>
  </si>
  <si>
    <t>phi_c_C</t>
  </si>
  <si>
    <t>phi_c_D</t>
  </si>
  <si>
    <t>SD of Dependent Variable</t>
  </si>
  <si>
    <t>M1: pe and cz-ind effects</t>
  </si>
  <si>
    <t>M2: pe and cz effects</t>
  </si>
  <si>
    <t>M3: pe and firm effects,  baseline spec, young subgroup</t>
  </si>
  <si>
    <t>M4: pe and firm effects,  dynamic top10 spec, young subgroup</t>
  </si>
  <si>
    <t>M5: pe and firm effects, dynamic top25 spec, young subgroup</t>
  </si>
  <si>
    <t>M3</t>
  </si>
  <si>
    <t>M4</t>
  </si>
  <si>
    <t>M5</t>
  </si>
  <si>
    <t>Sample 8 subgroup</t>
  </si>
  <si>
    <t>person effect decile</t>
  </si>
  <si>
    <t>fe decile</t>
  </si>
  <si>
    <t>akm_res</t>
  </si>
  <si>
    <t>pe1fe1</t>
  </si>
  <si>
    <t>pe1fe2</t>
  </si>
  <si>
    <t>pe1fe3</t>
  </si>
  <si>
    <t>pe1fe4</t>
  </si>
  <si>
    <t>pe1fe5</t>
  </si>
  <si>
    <t>pe1fe6</t>
  </si>
  <si>
    <t>pe1fe7</t>
  </si>
  <si>
    <t>pe1fe8</t>
  </si>
  <si>
    <t>pe1fe9</t>
  </si>
  <si>
    <t>pe1fe10</t>
  </si>
  <si>
    <t>pe2fe1</t>
  </si>
  <si>
    <t>pe2fe2</t>
  </si>
  <si>
    <t>pe2fe3</t>
  </si>
  <si>
    <t>pe2fe4</t>
  </si>
  <si>
    <t>pe2fe5</t>
  </si>
  <si>
    <t>pe2fe6</t>
  </si>
  <si>
    <t>pe2fe7</t>
  </si>
  <si>
    <t>pe2fe8</t>
  </si>
  <si>
    <t>pe2fe9</t>
  </si>
  <si>
    <t>pe2fe10</t>
  </si>
  <si>
    <t>pe3fe1</t>
  </si>
  <si>
    <t>pe3fe2</t>
  </si>
  <si>
    <t>pe3fe3</t>
  </si>
  <si>
    <t>pe3fe4</t>
  </si>
  <si>
    <t>pe3fe5</t>
  </si>
  <si>
    <t>pe3fe6</t>
  </si>
  <si>
    <t>pe3fe7</t>
  </si>
  <si>
    <t>pe3fe8</t>
  </si>
  <si>
    <t>pe3fe9</t>
  </si>
  <si>
    <t>pe3fe10</t>
  </si>
  <si>
    <t>pe4fe1</t>
  </si>
  <si>
    <t>pe4fe2</t>
  </si>
  <si>
    <t>pe4fe3</t>
  </si>
  <si>
    <t>pe4fe4</t>
  </si>
  <si>
    <t>pe4fe5</t>
  </si>
  <si>
    <t>pe4fe6</t>
  </si>
  <si>
    <t>pe4fe7</t>
  </si>
  <si>
    <t>pe4fe8</t>
  </si>
  <si>
    <t>pe4fe9</t>
  </si>
  <si>
    <t>pe4fe10</t>
  </si>
  <si>
    <t>pe5fe1</t>
  </si>
  <si>
    <t>pe5fe2</t>
  </si>
  <si>
    <t>pe5fe3</t>
  </si>
  <si>
    <t>pe5fe4</t>
  </si>
  <si>
    <t>pe5fe5</t>
  </si>
  <si>
    <t>pe5fe6</t>
  </si>
  <si>
    <t>pe5fe7</t>
  </si>
  <si>
    <t>pe5fe8</t>
  </si>
  <si>
    <t>pe5fe9</t>
  </si>
  <si>
    <t>pe5fe10</t>
  </si>
  <si>
    <t>pe6fe1</t>
  </si>
  <si>
    <t>pe6fe2</t>
  </si>
  <si>
    <t>pe6fe3</t>
  </si>
  <si>
    <t>pe6fe4</t>
  </si>
  <si>
    <t>pe6fe5</t>
  </si>
  <si>
    <t>pe6fe6</t>
  </si>
  <si>
    <t>pe6fe7</t>
  </si>
  <si>
    <t>pe6fe8</t>
  </si>
  <si>
    <t>pe6fe9</t>
  </si>
  <si>
    <t>pe6fe10</t>
  </si>
  <si>
    <t>pe7fe1</t>
  </si>
  <si>
    <t>pe7fe2</t>
  </si>
  <si>
    <t>pe7fe3</t>
  </si>
  <si>
    <t>pe7fe4</t>
  </si>
  <si>
    <t>pe7fe5</t>
  </si>
  <si>
    <t>pe7fe6</t>
  </si>
  <si>
    <t>pe7fe7</t>
  </si>
  <si>
    <t>pe7fe8</t>
  </si>
  <si>
    <t>pe7fe9</t>
  </si>
  <si>
    <t>pe7fe10</t>
  </si>
  <si>
    <t>pe8fe1</t>
  </si>
  <si>
    <t>pe8fe2</t>
  </si>
  <si>
    <t>pe8fe3</t>
  </si>
  <si>
    <t>pe8fe4</t>
  </si>
  <si>
    <t>pe8fe5</t>
  </si>
  <si>
    <t>pe8fe6</t>
  </si>
  <si>
    <t>pe8fe7</t>
  </si>
  <si>
    <t>pe8fe8</t>
  </si>
  <si>
    <t>pe8fe9</t>
  </si>
  <si>
    <t>pe8fe10</t>
  </si>
  <si>
    <t>pe9fe1</t>
  </si>
  <si>
    <t>pe9fe2</t>
  </si>
  <si>
    <t>pe9fe3</t>
  </si>
  <si>
    <t>pe9fe4</t>
  </si>
  <si>
    <t>pe9fe5</t>
  </si>
  <si>
    <t>pe9fe6</t>
  </si>
  <si>
    <t>pe9fe7</t>
  </si>
  <si>
    <t>pe9fe8</t>
  </si>
  <si>
    <t>pe9fe9</t>
  </si>
  <si>
    <t>pe9fe10</t>
  </si>
  <si>
    <t>pe10fe1</t>
  </si>
  <si>
    <t>pe10fe2</t>
  </si>
  <si>
    <t>pe10fe3</t>
  </si>
  <si>
    <t>pe10fe4</t>
  </si>
  <si>
    <t>pe10fe5</t>
  </si>
  <si>
    <t>pe10fe6</t>
  </si>
  <si>
    <t>pe10fe7</t>
  </si>
  <si>
    <t>pe10fe8</t>
  </si>
  <si>
    <t>pe10fe9</t>
  </si>
  <si>
    <t>pe10fe10</t>
  </si>
  <si>
    <t>Residuals by deciles of person and firm effects</t>
  </si>
  <si>
    <t>Variables</t>
  </si>
  <si>
    <t>Quartile of origin</t>
  </si>
  <si>
    <t>Quartile of destination</t>
  </si>
  <si>
    <t>Event time</t>
  </si>
  <si>
    <t>y_m_xb</t>
  </si>
  <si>
    <t>Person-quarter observations</t>
  </si>
  <si>
    <t>Event study means of AKM components for firm movers from different quartiles of delta_f</t>
  </si>
  <si>
    <t>Vigintile of origin</t>
  </si>
  <si>
    <t>Vigintile of destination</t>
  </si>
  <si>
    <t>d_y_m_xb</t>
  </si>
  <si>
    <t>d_akm_res</t>
  </si>
  <si>
    <t>d_df_m_psic</t>
  </si>
  <si>
    <t>d_df_m_psijc</t>
  </si>
  <si>
    <t>d_psijc_m_psic</t>
  </si>
  <si>
    <t>d_psic</t>
  </si>
  <si>
    <t>Event study means of adjusted earnings components for CZ movers from different quartiles of CZ earnings</t>
  </si>
  <si>
    <t>Event study means of AKM components for CZ movers from different quartiles of CZ effects</t>
  </si>
  <si>
    <t>df_m_psic</t>
  </si>
  <si>
    <t>df_m_psijc</t>
  </si>
  <si>
    <t>psijc_m_psic</t>
  </si>
  <si>
    <t>Vigntile means for change in AKM components (movers from and to different quantiles of CZ effects psi_c)</t>
  </si>
  <si>
    <t>d_df</t>
  </si>
  <si>
    <t>df (akm_firm)</t>
  </si>
  <si>
    <t>d_df (d_akm_firm)</t>
  </si>
  <si>
    <t>Note: all regressions weighted by Sample 8 cell sizes</t>
  </si>
  <si>
    <t>top10 spec</t>
  </si>
  <si>
    <t>top 25 spec</t>
  </si>
  <si>
    <t>Vigintile means for change in AKM components (movers from and to different quantiles of delta_f)</t>
  </si>
  <si>
    <t>Output 2: Main decomposition AKM</t>
  </si>
  <si>
    <t>0.499</t>
  </si>
  <si>
    <t>0.489</t>
  </si>
  <si>
    <t>(0.0205)</t>
  </si>
  <si>
    <t>(0.0187)</t>
  </si>
  <si>
    <t>0.0753</t>
  </si>
  <si>
    <t>0.0397</t>
  </si>
  <si>
    <t>0.0340</t>
  </si>
  <si>
    <t>(0.00808)</t>
  </si>
  <si>
    <t>(0.00655)</t>
  </si>
  <si>
    <t>(0.00310)</t>
  </si>
  <si>
    <t>1.683</t>
  </si>
  <si>
    <t>0.982</t>
  </si>
  <si>
    <t>0.664</t>
  </si>
  <si>
    <t>(0.149)</t>
  </si>
  <si>
    <t>(0.0689)</t>
  </si>
  <si>
    <t>(0.0988)</t>
  </si>
  <si>
    <t>-0.0871</t>
  </si>
  <si>
    <t>0.213</t>
  </si>
  <si>
    <t>(0.0124)</t>
  </si>
  <si>
    <t>(0.00948)</t>
  </si>
  <si>
    <t>-0.00480</t>
  </si>
  <si>
    <t>0.0185</t>
  </si>
  <si>
    <t>(0.00253)</t>
  </si>
  <si>
    <t>(0.00221)</t>
  </si>
  <si>
    <t>-0.202</t>
  </si>
  <si>
    <t>0.414</t>
  </si>
  <si>
    <t>(0.0206)</t>
  </si>
  <si>
    <t>(0.0335)</t>
  </si>
  <si>
    <t>0.240</t>
  </si>
  <si>
    <t>(0.0219)</t>
  </si>
  <si>
    <t>0.0250</t>
  </si>
  <si>
    <t>(0.00202)</t>
  </si>
  <si>
    <t>0.466</t>
  </si>
  <si>
    <t>(0.0467)</t>
  </si>
  <si>
    <t>0.475</t>
  </si>
  <si>
    <t>0.0181</t>
  </si>
  <si>
    <t>-0.00445</t>
  </si>
  <si>
    <t>0.451</t>
  </si>
  <si>
    <t>(0.0188)</t>
  </si>
  <si>
    <t>(0.00641)</t>
  </si>
  <si>
    <t>(0.00840)</t>
  </si>
  <si>
    <t>(0.0251)</t>
  </si>
  <si>
    <t>0.0370</t>
  </si>
  <si>
    <t>0.0000369</t>
  </si>
  <si>
    <t>-0.00313</t>
  </si>
  <si>
    <t>0.0394</t>
  </si>
  <si>
    <t>(0.00262)</t>
  </si>
  <si>
    <t>(0.000402)</t>
  </si>
  <si>
    <t>(0.000832)</t>
  </si>
  <si>
    <t>(0.00354)</t>
  </si>
  <si>
    <t>0.733</t>
  </si>
  <si>
    <t>-0.00953</t>
  </si>
  <si>
    <t>-0.0594</t>
  </si>
  <si>
    <t>0.850</t>
  </si>
  <si>
    <t>(0.0894)</t>
  </si>
  <si>
    <t>(0.0125)</t>
  </si>
  <si>
    <t>(0.0145)</t>
  </si>
  <si>
    <t>(0.0567)</t>
  </si>
  <si>
    <t>corr_pe_fe</t>
  </si>
  <si>
    <t>9.434</t>
  </si>
  <si>
    <t>9.431</t>
  </si>
  <si>
    <t>9.441</t>
  </si>
  <si>
    <t>9.506</t>
  </si>
  <si>
    <t>(.5956)</t>
  </si>
  <si>
    <t>(.5945)</t>
  </si>
  <si>
    <t>(.5985)</t>
  </si>
  <si>
    <t>(.6334)</t>
  </si>
  <si>
    <t>42.44</t>
  </si>
  <si>
    <t>43.56</t>
  </si>
  <si>
    <t>39.45</t>
  </si>
  <si>
    <t>40.93</t>
  </si>
  <si>
    <t>(10.73)</t>
  </si>
  <si>
    <t>(10.32)</t>
  </si>
  <si>
    <t>(10.63)</t>
  </si>
  <si>
    <t>.4728</t>
  </si>
  <si>
    <t>.49</t>
  </si>
  <si>
    <t>.4269</t>
  </si>
  <si>
    <t>.4605</t>
  </si>
  <si>
    <t>(.4999)</t>
  </si>
  <si>
    <t>(.4946)</t>
  </si>
  <si>
    <t>(.4984)</t>
  </si>
  <si>
    <t>.1612</t>
  </si>
  <si>
    <t>.1676</t>
  </si>
  <si>
    <t>.1439</t>
  </si>
  <si>
    <t>.1512</t>
  </si>
  <si>
    <t>(.3677)</t>
  </si>
  <si>
    <t>(.351)</t>
  </si>
  <si>
    <t>(.3582)</t>
  </si>
  <si>
    <t>.1333</t>
  </si>
  <si>
    <t>.138</t>
  </si>
  <si>
    <t>.1206</t>
  </si>
  <si>
    <t>.1214</t>
  </si>
  <si>
    <t>(.3399)</t>
  </si>
  <si>
    <t>(.3449)</t>
  </si>
  <si>
    <t>(.3256)</t>
  </si>
  <si>
    <t>(.3266)</t>
  </si>
  <si>
    <t>.7276</t>
  </si>
  <si>
    <t>.6677</t>
  </si>
  <si>
    <t>(.4452)</t>
  </si>
  <si>
    <t>(.471)</t>
  </si>
  <si>
    <t>.2033</t>
  </si>
  <si>
    <t>.7462</t>
  </si>
  <si>
    <t>.3323</t>
  </si>
  <si>
    <t>(.4024)</t>
  </si>
  <si>
    <t>(.4352)</t>
  </si>
  <si>
    <t>.06913</t>
  </si>
  <si>
    <t>.2538</t>
  </si>
  <si>
    <t>(.2537)</t>
  </si>
  <si>
    <t>.6483</t>
  </si>
  <si>
    <t>.6777</t>
  </si>
  <si>
    <t>.5697</t>
  </si>
  <si>
    <t>.6238</t>
  </si>
  <si>
    <t>(.4775)</t>
  </si>
  <si>
    <t>(.4673)</t>
  </si>
  <si>
    <t>(.4951)</t>
  </si>
  <si>
    <t>(.4844)</t>
  </si>
  <si>
    <t>.2466</t>
  </si>
  <si>
    <t>.2281</t>
  </si>
  <si>
    <t>.296</t>
  </si>
  <si>
    <t>.3666</t>
  </si>
  <si>
    <t>(.4311)</t>
  </si>
  <si>
    <t>(.4196)</t>
  </si>
  <si>
    <t>(.4565)</t>
  </si>
  <si>
    <t>(.4819)</t>
  </si>
  <si>
    <t>.1051</t>
  </si>
  <si>
    <t>.09412</t>
  </si>
  <si>
    <t>.1343</t>
  </si>
  <si>
    <t>.009586</t>
  </si>
  <si>
    <t>(.3066)</t>
  </si>
  <si>
    <t>(.292)</t>
  </si>
  <si>
    <t>(.341)</t>
  </si>
  <si>
    <t>(.09744)</t>
  </si>
  <si>
    <t>25.88</t>
  </si>
  <si>
    <t>26.84</t>
  </si>
  <si>
    <t>23.32</t>
  </si>
  <si>
    <t>10</t>
  </si>
  <si>
    <t>(7.658)</t>
  </si>
  <si>
    <t>(7.677)</t>
  </si>
  <si>
    <t>(6.988)</t>
  </si>
  <si>
    <t>Regressions of Education Gap components on CZ-level regressors (earnings, size, etc.) – Baseline AKM model</t>
  </si>
  <si>
    <t>Education gap</t>
  </si>
  <si>
    <t>Education gap components</t>
  </si>
  <si>
    <t>A+D</t>
  </si>
  <si>
    <t>(0.0114)</t>
  </si>
  <si>
    <t>(0.00104)</t>
  </si>
  <si>
    <t>N</t>
  </si>
  <si>
    <t>0.628</t>
  </si>
  <si>
    <t>0.0741</t>
  </si>
  <si>
    <t>0.398</t>
  </si>
  <si>
    <t>0.165</t>
  </si>
  <si>
    <t>-0.00637</t>
  </si>
  <si>
    <t>-0.00332</t>
  </si>
  <si>
    <t>(0.0487)</t>
  </si>
  <si>
    <t>(0.00941)</t>
  </si>
  <si>
    <t>(0.0336)</t>
  </si>
  <si>
    <t>(0.00242)</t>
  </si>
  <si>
    <t>(0.00269)</t>
  </si>
  <si>
    <t>0.0599</t>
  </si>
  <si>
    <t>0.00670</t>
  </si>
  <si>
    <t>0.0409</t>
  </si>
  <si>
    <t>0.0133</t>
  </si>
  <si>
    <t>-0.000229</t>
  </si>
  <si>
    <t>-0.000809</t>
  </si>
  <si>
    <t>(0.00284)</t>
  </si>
  <si>
    <t>(0.000441)</t>
  </si>
  <si>
    <t>(0.00174)</t>
  </si>
  <si>
    <t>(0.000115)</t>
  </si>
  <si>
    <t>(0.000434)</t>
  </si>
  <si>
    <t>372800000</t>
  </si>
  <si>
    <t>Variance decompositions of education gap dy</t>
  </si>
  <si>
    <t>dy_c (sd)</t>
  </si>
  <si>
    <t>var(A) var share=</t>
  </si>
  <si>
    <t>var(B) var share=</t>
  </si>
  <si>
    <t>var(C) var share=</t>
  </si>
  <si>
    <t>var(D) var share=</t>
  </si>
  <si>
    <t>var(E) var share=</t>
  </si>
  <si>
    <t>cov(A,B) var share=</t>
  </si>
  <si>
    <t>cov(A,C) var share=</t>
  </si>
  <si>
    <t>cov(A,D) var share=</t>
  </si>
  <si>
    <t>cov(A,E) var share=</t>
  </si>
  <si>
    <t>cov(B,C) var share=</t>
  </si>
  <si>
    <t>cov(B,D) var share=</t>
  </si>
  <si>
    <t>cov(B,E) var share=</t>
  </si>
  <si>
    <t>cov(C,D) var share=</t>
  </si>
  <si>
    <t>cov(C,E) var share=</t>
  </si>
  <si>
    <t>cov(D,E) var share=</t>
  </si>
  <si>
    <t>N=</t>
  </si>
  <si>
    <t>Educ L sample</t>
  </si>
  <si>
    <t>Educ H sample</t>
  </si>
  <si>
    <t>(0.00555)</t>
  </si>
  <si>
    <t>0.0389</t>
  </si>
  <si>
    <t>0.0169</t>
  </si>
  <si>
    <t>0.0199</t>
  </si>
  <si>
    <t>0.102</t>
  </si>
  <si>
    <t>0.0578</t>
  </si>
  <si>
    <t>0.0425</t>
  </si>
  <si>
    <t>(0.00541)</t>
  </si>
  <si>
    <t>(0.00206)</t>
  </si>
  <si>
    <t>(0.00826)</t>
  </si>
  <si>
    <t>(0.00647)</t>
  </si>
  <si>
    <t>(0.00324)</t>
  </si>
  <si>
    <t>Results from AKM model (SDs, correlations and variance decomposition)</t>
  </si>
  <si>
    <t>Sample</t>
  </si>
  <si>
    <t>Education - Low education only (4VEDUC-L)</t>
  </si>
  <si>
    <t>Education - High education only (4VEDUC-H)</t>
  </si>
  <si>
    <t>Individual-level</t>
  </si>
  <si>
    <t>CZ-level</t>
  </si>
  <si>
    <t xml:space="preserve">Main decomposition - Movers vs. Stayers (Sample 8) - using new establishment level AKM estimates </t>
  </si>
  <si>
    <t>Sample 8 - Movers only</t>
  </si>
  <si>
    <t>Sample 8 - Stayers only</t>
  </si>
  <si>
    <t xml:space="preserve">Main decomposition - No-Uncertainty vs. Uncertainty subgroups (Sample 8) - using new establishment level AKM estimates </t>
  </si>
  <si>
    <t>Sample 8 - No-Uncertainty subgroup</t>
  </si>
  <si>
    <t>Sample 8 - Uncertainty subgroup</t>
  </si>
  <si>
    <t>Full sample</t>
  </si>
  <si>
    <t>Top 10</t>
  </si>
  <si>
    <t>Urban</t>
  </si>
  <si>
    <t>Resource</t>
  </si>
  <si>
    <t>pe_c</t>
  </si>
  <si>
    <t>phi_c</t>
  </si>
  <si>
    <t>(0.0105)</t>
  </si>
  <si>
    <t>xb_c</t>
  </si>
  <si>
    <t>Number of CZs</t>
  </si>
  <si>
    <t>(0.00740)</t>
  </si>
  <si>
    <t>(0.000427)</t>
  </si>
  <si>
    <t>Output 21:  decomposition AKM - with aggregated psi_c and psi_jc</t>
  </si>
  <si>
    <t>SD or Correlation</t>
  </si>
  <si>
    <t xml:space="preserve">corr(pe,psi_c)  </t>
  </si>
  <si>
    <t xml:space="preserve">corr(psi_c,xb)  </t>
  </si>
  <si>
    <t xml:space="preserve">corr(psi_c,r)  </t>
  </si>
  <si>
    <t xml:space="preserve">corr(fe,psi_c)  </t>
  </si>
  <si>
    <t xml:space="preserve">corr(pe,psi_jc)  </t>
  </si>
  <si>
    <t xml:space="preserve">corr(psi_jc,xb)  </t>
  </si>
  <si>
    <t xml:space="preserve">corr(psi_jc,r)  </t>
  </si>
  <si>
    <t xml:space="preserve">corr(fe,psi_jc)  </t>
  </si>
  <si>
    <t>psi_jc   SD</t>
  </si>
  <si>
    <t>psi_c  SD</t>
  </si>
  <si>
    <t>Non-segrated subgroup</t>
  </si>
  <si>
    <t>r_fHS</t>
  </si>
  <si>
    <t>r_fCplus</t>
  </si>
  <si>
    <t>intercept</t>
  </si>
  <si>
    <t>R2</t>
  </si>
  <si>
    <t>Model with establishment and education effects</t>
  </si>
  <si>
    <t>Model with establishment X education effects</t>
  </si>
  <si>
    <t>Small Size&lt;25k</t>
  </si>
  <si>
    <t>Large Size&gt;25k</t>
  </si>
  <si>
    <t>9.263</t>
  </si>
  <si>
    <t>9.222</t>
  </si>
  <si>
    <t>9.723</t>
  </si>
  <si>
    <t>9.539</t>
  </si>
  <si>
    <t>9.285</t>
  </si>
  <si>
    <t>9.127</t>
  </si>
  <si>
    <t>9.143</t>
  </si>
  <si>
    <t>9.198</t>
  </si>
  <si>
    <t>9.252</t>
  </si>
  <si>
    <t>9.305</t>
  </si>
  <si>
    <t>9.419</t>
  </si>
  <si>
    <t>(0.124)</t>
  </si>
  <si>
    <t>(0.128)</t>
  </si>
  <si>
    <t>(0.0823)</t>
  </si>
  <si>
    <t>(0.0508)</t>
  </si>
  <si>
    <t>(0.102)</t>
  </si>
  <si>
    <t>(0.0694)</t>
  </si>
  <si>
    <t>(0.0621)</t>
  </si>
  <si>
    <t>(0.0535)</t>
  </si>
  <si>
    <t>(0.0638)</t>
  </si>
  <si>
    <t>(0.0715)</t>
  </si>
  <si>
    <t>(0.127)</t>
  </si>
  <si>
    <t>9.019</t>
  </si>
  <si>
    <t>8.987</t>
  </si>
  <si>
    <t>9.244</t>
  </si>
  <si>
    <t>9.068</t>
  </si>
  <si>
    <t>9.037</t>
  </si>
  <si>
    <t>8.997</t>
  </si>
  <si>
    <t>8.994</t>
  </si>
  <si>
    <t>8.998</t>
  </si>
  <si>
    <t>9.017</t>
  </si>
  <si>
    <t>9.049</t>
  </si>
  <si>
    <t>(0.0683)</t>
  </si>
  <si>
    <t>(0.0546)</t>
  </si>
  <si>
    <t>(0.0284)</t>
  </si>
  <si>
    <t>(0.0323)</t>
  </si>
  <si>
    <t>(0.0664)</t>
  </si>
  <si>
    <t>(0.0556)</t>
  </si>
  <si>
    <t>(0.0527)</t>
  </si>
  <si>
    <t>(0.0498)</t>
  </si>
  <si>
    <t>(0.0590)</t>
  </si>
  <si>
    <t>(0.0665)</t>
  </si>
  <si>
    <t>(0.0891)</t>
  </si>
  <si>
    <t>0.183</t>
  </si>
  <si>
    <t>0.178</t>
  </si>
  <si>
    <t>0.407</t>
  </si>
  <si>
    <t>0.0673</t>
  </si>
  <si>
    <t>0.0877</t>
  </si>
  <si>
    <t>0.139</t>
  </si>
  <si>
    <t>0.172</t>
  </si>
  <si>
    <t>0.206</t>
  </si>
  <si>
    <t>0.310</t>
  </si>
  <si>
    <t>(0.0866)</t>
  </si>
  <si>
    <t>(0.114)</t>
  </si>
  <si>
    <t>(0.0566)</t>
  </si>
  <si>
    <t>(0.0288)</t>
  </si>
  <si>
    <t>(0.0532)</t>
  </si>
  <si>
    <t>(0.0177)</t>
  </si>
  <si>
    <t>(0.0278)</t>
  </si>
  <si>
    <t>(0.00951)</t>
  </si>
  <si>
    <t>(0.0115)</t>
  </si>
  <si>
    <t>(0.0927)</t>
  </si>
  <si>
    <t>0.0613</t>
  </si>
  <si>
    <t>0.0557</t>
  </si>
  <si>
    <t>0.0730</t>
  </si>
  <si>
    <t>0.0569</t>
  </si>
  <si>
    <t>0.0648</t>
  </si>
  <si>
    <t>0.0629</t>
  </si>
  <si>
    <t>0.0610</t>
  </si>
  <si>
    <t>0.0615</t>
  </si>
  <si>
    <t>0.0627</t>
  </si>
  <si>
    <t>0.0619</t>
  </si>
  <si>
    <t>0.0595</t>
  </si>
  <si>
    <t>(0.0107)</t>
  </si>
  <si>
    <t>(0.0139)</t>
  </si>
  <si>
    <t>(0.00460)</t>
  </si>
  <si>
    <t>(0.0199)</t>
  </si>
  <si>
    <t>(0.00546)</t>
  </si>
  <si>
    <t>(0.00747)</t>
  </si>
  <si>
    <t>(0.00854)</t>
  </si>
  <si>
    <t>(0.00939)</t>
  </si>
  <si>
    <t>(0.00764)</t>
  </si>
  <si>
    <t>(0.00776)</t>
  </si>
  <si>
    <t>(0.0170)</t>
  </si>
  <si>
    <t>750</t>
  </si>
  <si>
    <t>300</t>
  </si>
  <si>
    <t>450</t>
  </si>
  <si>
    <t>150</t>
  </si>
  <si>
    <t>-0.0274</t>
  </si>
  <si>
    <t>(0.000432)</t>
  </si>
  <si>
    <t>-0.00123</t>
  </si>
  <si>
    <t>(0.0000287)</t>
  </si>
  <si>
    <t>307300000</t>
  </si>
  <si>
    <t>ADJ R2</t>
  </si>
  <si>
    <t>9.548</t>
  </si>
  <si>
    <t>(.6501)</t>
  </si>
  <si>
    <t>40.08</t>
  </si>
  <si>
    <t>(10.56)</t>
  </si>
  <si>
    <t>.4253</t>
  </si>
  <si>
    <t>(.4944)</t>
  </si>
  <si>
    <t>.1346</t>
  </si>
  <si>
    <t>(.3413)</t>
  </si>
  <si>
    <t>.1029</t>
  </si>
  <si>
    <t>(.3039)</t>
  </si>
  <si>
    <t>.9949</t>
  </si>
  <si>
    <t>(.07126)</t>
  </si>
  <si>
    <t>.005103</t>
  </si>
  <si>
    <t>(.07125)</t>
  </si>
  <si>
    <t>Sample 8YOUNG</t>
  </si>
  <si>
    <t>0.794</t>
  </si>
  <si>
    <t>0.771</t>
  </si>
  <si>
    <t>0.956</t>
  </si>
  <si>
    <t>0.937</t>
  </si>
  <si>
    <t>0.950</t>
  </si>
  <si>
    <t>(0.0203)</t>
  </si>
  <si>
    <t>(0.0213)</t>
  </si>
  <si>
    <t>(0.0313)</t>
  </si>
  <si>
    <t>(0.0310)</t>
  </si>
  <si>
    <t>(0.0308)</t>
  </si>
  <si>
    <t>0.919</t>
  </si>
  <si>
    <t>0.945</t>
  </si>
  <si>
    <t>0.942</t>
  </si>
  <si>
    <t>0.940</t>
  </si>
  <si>
    <t xml:space="preserve"> R2</t>
  </si>
  <si>
    <t>0.0638</t>
  </si>
  <si>
    <t>0.0782</t>
  </si>
  <si>
    <t>0.0767</t>
  </si>
  <si>
    <t>0.0776</t>
  </si>
  <si>
    <t>psi_c_baseline</t>
  </si>
  <si>
    <t>For reference, each column uses Psi_c estimates from the following models (described in Memo output description in more detail)</t>
  </si>
  <si>
    <t>NOTE:</t>
  </si>
  <si>
    <t>sum of variance shares</t>
  </si>
  <si>
    <t>sum of covariance shares</t>
  </si>
  <si>
    <t>cov(pe,fe)/var(fe)</t>
  </si>
  <si>
    <t>correl (pe,fe)</t>
  </si>
  <si>
    <t>within industry gap</t>
  </si>
  <si>
    <t>person effect</t>
  </si>
  <si>
    <t>industry sorting</t>
  </si>
  <si>
    <t>interaction</t>
  </si>
  <si>
    <t>covriates</t>
  </si>
  <si>
    <t>old version (D3TAB13)</t>
  </si>
  <si>
    <t>2cov(pe,psi_c)</t>
  </si>
  <si>
    <t>backing out var of CZ effect (A+C+D)</t>
  </si>
  <si>
    <t>var(dy_c)</t>
  </si>
  <si>
    <t>var(B)</t>
  </si>
  <si>
    <t>var(E)</t>
  </si>
  <si>
    <t>var(A+C+D)</t>
  </si>
  <si>
    <t>2cov(B,E)</t>
  </si>
  <si>
    <t>2cov(ACD,B)</t>
  </si>
  <si>
    <t>2cov(ACD,E)</t>
  </si>
  <si>
    <t>var share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</si>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</sst>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00"/>
    <numFmt numFmtId="166" formatCode="0.0000"/>
    <numFmt numFmtId="167" formatCode="0.0000000000000000"/>
  </numFmts>
  <fonts count="2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color theme="0" tint="-0.499984740745262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8"/>
      <name val="Calibri"/>
      <family val="2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0" tint="-0.499984740745262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</font>
    <font>
      <sz val="11"/>
      <color rgb="FFFF0000"/>
      <name val="Within industry gap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3" fontId="0" fillId="0" borderId="0" xfId="0" applyNumberFormat="1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1" fontId="1" fillId="0" borderId="0" xfId="0" applyNumberFormat="1" applyFont="1"/>
    <xf numFmtId="0" fontId="4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1" xfId="0" applyFont="1" applyBorder="1"/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1" fillId="0" borderId="0" xfId="0" applyNumberFormat="1" applyFont="1"/>
    <xf numFmtId="0" fontId="20" fillId="0" borderId="0" xfId="0" applyFont="1"/>
    <xf numFmtId="166" fontId="0" fillId="0" borderId="0" xfId="0" applyNumberFormat="1"/>
    <xf numFmtId="166" fontId="4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0" xfId="0" applyFont="1" applyAlignment="1">
      <alignment horizontal="center"/>
    </xf>
    <xf numFmtId="3" fontId="1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zoomScale="70" zoomScaleNormal="70" workbookViewId="0">
      <selection activeCell="F31" sqref="F31:F32"/>
    </sheetView>
  </sheetViews>
  <sheetFormatPr baseColWidth="10" defaultColWidth="8.83203125" defaultRowHeight="15"/>
  <cols>
    <col min="1" max="1" width="32" bestFit="1" customWidth="1"/>
    <col min="2" max="5" width="26.1640625" style="1" customWidth="1"/>
    <col min="6" max="6" width="26.1640625" customWidth="1"/>
  </cols>
  <sheetData>
    <row r="1" spans="1:6">
      <c r="A1" s="16" t="s">
        <v>40</v>
      </c>
    </row>
    <row r="3" spans="1:6">
      <c r="A3" t="str">
        <f>""</f>
        <v/>
      </c>
      <c r="B3" s="1" t="str">
        <f>"(1)"</f>
        <v>(1)</v>
      </c>
      <c r="C3" s="1" t="str">
        <f>"(2)"</f>
        <v>(2)</v>
      </c>
      <c r="D3" s="1" t="str">
        <f>"(3)"</f>
        <v>(3)</v>
      </c>
      <c r="E3" s="1" t="str">
        <f>"(4)"</f>
        <v>(4)</v>
      </c>
      <c r="F3" s="1" t="str">
        <f>"(5)"</f>
        <v>(5)</v>
      </c>
    </row>
    <row r="4" spans="1:6">
      <c r="C4" s="58" t="s">
        <v>41</v>
      </c>
      <c r="D4" s="59"/>
      <c r="E4" s="4" t="s">
        <v>44</v>
      </c>
      <c r="F4" s="4" t="s">
        <v>45</v>
      </c>
    </row>
    <row r="5" spans="1:6">
      <c r="A5" t="str">
        <f>""</f>
        <v/>
      </c>
      <c r="B5" s="1" t="s">
        <v>41</v>
      </c>
      <c r="C5" s="4" t="s">
        <v>46</v>
      </c>
      <c r="D5" s="4" t="s">
        <v>47</v>
      </c>
      <c r="E5" s="4" t="s">
        <v>42</v>
      </c>
      <c r="F5" s="4" t="s">
        <v>43</v>
      </c>
    </row>
    <row r="6" spans="1:6">
      <c r="A6" t="str">
        <f>""</f>
        <v/>
      </c>
      <c r="B6" s="1" t="str">
        <f>"mean/sd"</f>
        <v>mean/sd</v>
      </c>
      <c r="C6" s="1" t="str">
        <f>"mean/sd"</f>
        <v>mean/sd</v>
      </c>
      <c r="D6" s="1" t="str">
        <f>"mean/sd"</f>
        <v>mean/sd</v>
      </c>
      <c r="E6" s="1" t="str">
        <f>"mean/sd"</f>
        <v>mean/sd</v>
      </c>
      <c r="F6" s="1" t="str">
        <f>"mean/sd"</f>
        <v>mean/sd</v>
      </c>
    </row>
    <row r="7" spans="1:6">
      <c r="A7" t="s">
        <v>37</v>
      </c>
      <c r="B7" s="4" t="s">
        <v>269</v>
      </c>
      <c r="C7" s="4" t="s">
        <v>270</v>
      </c>
      <c r="D7" s="4" t="s">
        <v>271</v>
      </c>
      <c r="E7" s="4" t="s">
        <v>272</v>
      </c>
      <c r="F7" s="4" t="s">
        <v>549</v>
      </c>
    </row>
    <row r="8" spans="1:6">
      <c r="A8" t="str">
        <f>""</f>
        <v/>
      </c>
      <c r="B8" s="4" t="s">
        <v>273</v>
      </c>
      <c r="C8" s="4" t="s">
        <v>274</v>
      </c>
      <c r="D8" s="4" t="s">
        <v>275</v>
      </c>
      <c r="E8" s="4" t="s">
        <v>276</v>
      </c>
      <c r="F8" s="4" t="s">
        <v>550</v>
      </c>
    </row>
    <row r="9" spans="1:6">
      <c r="A9" t="str">
        <f>"age"</f>
        <v>age</v>
      </c>
      <c r="B9" s="4" t="s">
        <v>277</v>
      </c>
      <c r="C9" s="4" t="s">
        <v>278</v>
      </c>
      <c r="D9" s="4" t="s">
        <v>279</v>
      </c>
      <c r="E9" s="4" t="s">
        <v>280</v>
      </c>
      <c r="F9" s="4" t="s">
        <v>551</v>
      </c>
    </row>
    <row r="10" spans="1:6">
      <c r="A10" t="str">
        <f>""</f>
        <v/>
      </c>
      <c r="B10" s="4" t="s">
        <v>38</v>
      </c>
      <c r="C10" s="4" t="s">
        <v>281</v>
      </c>
      <c r="D10" s="4" t="s">
        <v>282</v>
      </c>
      <c r="E10" s="4" t="s">
        <v>283</v>
      </c>
      <c r="F10" s="4" t="s">
        <v>552</v>
      </c>
    </row>
    <row r="11" spans="1:6">
      <c r="A11" t="str">
        <f>"gender"</f>
        <v>gender</v>
      </c>
      <c r="B11" s="4" t="s">
        <v>284</v>
      </c>
      <c r="C11" s="4" t="s">
        <v>285</v>
      </c>
      <c r="D11" s="4" t="s">
        <v>286</v>
      </c>
      <c r="E11" s="4" t="s">
        <v>287</v>
      </c>
      <c r="F11" s="4" t="s">
        <v>553</v>
      </c>
    </row>
    <row r="12" spans="1:6">
      <c r="A12" t="str">
        <f>""</f>
        <v/>
      </c>
      <c r="B12" s="4" t="s">
        <v>39</v>
      </c>
      <c r="C12" s="4" t="s">
        <v>288</v>
      </c>
      <c r="D12" s="4" t="s">
        <v>289</v>
      </c>
      <c r="E12" s="4" t="s">
        <v>290</v>
      </c>
      <c r="F12" s="4" t="s">
        <v>554</v>
      </c>
    </row>
    <row r="13" spans="1:6">
      <c r="A13" t="str">
        <f>"forborn"</f>
        <v>forborn</v>
      </c>
      <c r="B13" s="4" t="s">
        <v>291</v>
      </c>
      <c r="C13" s="4" t="s">
        <v>292</v>
      </c>
      <c r="D13" s="4" t="s">
        <v>293</v>
      </c>
      <c r="E13" s="4" t="s">
        <v>294</v>
      </c>
      <c r="F13" s="4" t="s">
        <v>555</v>
      </c>
    </row>
    <row r="14" spans="1:6">
      <c r="A14" t="str">
        <f>""</f>
        <v/>
      </c>
      <c r="B14" s="4" t="s">
        <v>295</v>
      </c>
      <c r="C14" s="4">
        <v>-0.3735</v>
      </c>
      <c r="D14" s="4" t="s">
        <v>296</v>
      </c>
      <c r="E14" s="4" t="s">
        <v>297</v>
      </c>
      <c r="F14" s="4" t="s">
        <v>556</v>
      </c>
    </row>
    <row r="15" spans="1:6">
      <c r="A15" t="str">
        <f>"hisp"</f>
        <v>hisp</v>
      </c>
      <c r="B15" s="4" t="s">
        <v>298</v>
      </c>
      <c r="C15" s="4" t="s">
        <v>299</v>
      </c>
      <c r="D15" s="4" t="s">
        <v>300</v>
      </c>
      <c r="E15" s="4" t="s">
        <v>301</v>
      </c>
      <c r="F15" s="4" t="s">
        <v>557</v>
      </c>
    </row>
    <row r="16" spans="1:6">
      <c r="A16" t="str">
        <f>""</f>
        <v/>
      </c>
      <c r="B16" s="4" t="s">
        <v>302</v>
      </c>
      <c r="C16" s="4" t="s">
        <v>303</v>
      </c>
      <c r="D16" s="4" t="s">
        <v>304</v>
      </c>
      <c r="E16" s="4" t="s">
        <v>305</v>
      </c>
      <c r="F16" s="4" t="s">
        <v>558</v>
      </c>
    </row>
    <row r="17" spans="1:6">
      <c r="A17" t="str">
        <f>"czcnt1"</f>
        <v>czcnt1</v>
      </c>
      <c r="B17" s="4" t="s">
        <v>306</v>
      </c>
      <c r="C17" s="4"/>
      <c r="D17" s="4"/>
      <c r="E17" s="4" t="s">
        <v>307</v>
      </c>
      <c r="F17" s="4"/>
    </row>
    <row r="18" spans="1:6">
      <c r="A18" t="str">
        <f>""</f>
        <v/>
      </c>
      <c r="B18" s="4" t="s">
        <v>308</v>
      </c>
      <c r="C18" s="4"/>
      <c r="D18" s="4"/>
      <c r="E18" s="4" t="s">
        <v>309</v>
      </c>
      <c r="F18" s="4"/>
    </row>
    <row r="19" spans="1:6">
      <c r="A19" t="str">
        <f>"czcnt2"</f>
        <v>czcnt2</v>
      </c>
      <c r="B19" s="4" t="s">
        <v>310</v>
      </c>
      <c r="C19" s="4"/>
      <c r="D19" s="4" t="s">
        <v>311</v>
      </c>
      <c r="E19" s="4" t="s">
        <v>312</v>
      </c>
      <c r="F19" s="4"/>
    </row>
    <row r="20" spans="1:6">
      <c r="A20" t="str">
        <f>""</f>
        <v/>
      </c>
      <c r="B20" s="4" t="s">
        <v>313</v>
      </c>
      <c r="C20" s="4"/>
      <c r="D20" s="4" t="s">
        <v>314</v>
      </c>
      <c r="E20" s="4" t="s">
        <v>309</v>
      </c>
      <c r="F20" s="4"/>
    </row>
    <row r="21" spans="1:6">
      <c r="A21" t="str">
        <f>"czcnt3"</f>
        <v>czcnt3</v>
      </c>
      <c r="B21" s="4" t="s">
        <v>315</v>
      </c>
      <c r="C21" s="4"/>
      <c r="D21" s="4" t="s">
        <v>316</v>
      </c>
      <c r="E21" s="4"/>
      <c r="F21" s="4"/>
    </row>
    <row r="22" spans="1:6">
      <c r="A22" t="str">
        <f>""</f>
        <v/>
      </c>
      <c r="B22" s="4" t="s">
        <v>317</v>
      </c>
      <c r="C22" s="4"/>
      <c r="D22" s="4" t="s">
        <v>314</v>
      </c>
      <c r="E22" s="4"/>
      <c r="F22" s="4"/>
    </row>
    <row r="23" spans="1:6">
      <c r="A23" t="str">
        <f>"naics4dswitch0"</f>
        <v>naics4dswitch0</v>
      </c>
      <c r="B23" s="4" t="s">
        <v>318</v>
      </c>
      <c r="C23" s="4" t="s">
        <v>319</v>
      </c>
      <c r="D23" s="4" t="s">
        <v>320</v>
      </c>
      <c r="E23" s="4" t="s">
        <v>321</v>
      </c>
      <c r="F23" s="4" t="s">
        <v>559</v>
      </c>
    </row>
    <row r="24" spans="1:6">
      <c r="A24" t="str">
        <f>""</f>
        <v/>
      </c>
      <c r="B24" s="4" t="s">
        <v>322</v>
      </c>
      <c r="C24" s="4" t="s">
        <v>323</v>
      </c>
      <c r="D24" s="4" t="s">
        <v>324</v>
      </c>
      <c r="E24" s="4" t="s">
        <v>325</v>
      </c>
      <c r="F24" s="4" t="s">
        <v>560</v>
      </c>
    </row>
    <row r="25" spans="1:6">
      <c r="A25" t="str">
        <f>"naics4dswitch1"</f>
        <v>naics4dswitch1</v>
      </c>
      <c r="B25" s="4" t="s">
        <v>326</v>
      </c>
      <c r="C25" s="4" t="s">
        <v>327</v>
      </c>
      <c r="D25" s="4" t="s">
        <v>328</v>
      </c>
      <c r="E25" s="4" t="s">
        <v>329</v>
      </c>
      <c r="F25" s="4" t="s">
        <v>561</v>
      </c>
    </row>
    <row r="26" spans="1:6">
      <c r="A26" t="str">
        <f>""</f>
        <v/>
      </c>
      <c r="B26" s="4" t="s">
        <v>330</v>
      </c>
      <c r="C26" s="4" t="s">
        <v>331</v>
      </c>
      <c r="D26" s="4" t="s">
        <v>332</v>
      </c>
      <c r="E26" s="4" t="s">
        <v>333</v>
      </c>
      <c r="F26" s="4" t="s">
        <v>562</v>
      </c>
    </row>
    <row r="27" spans="1:6">
      <c r="A27" t="str">
        <f>"naics4dswitch2"</f>
        <v>naics4dswitch2</v>
      </c>
      <c r="B27" s="4" t="s">
        <v>334</v>
      </c>
      <c r="C27" s="4" t="s">
        <v>335</v>
      </c>
      <c r="D27" s="4" t="s">
        <v>336</v>
      </c>
      <c r="E27" s="4" t="s">
        <v>337</v>
      </c>
      <c r="F27" s="4"/>
    </row>
    <row r="28" spans="1:6">
      <c r="A28" t="str">
        <f>""</f>
        <v/>
      </c>
      <c r="B28" s="4" t="s">
        <v>338</v>
      </c>
      <c r="C28" s="4" t="s">
        <v>339</v>
      </c>
      <c r="D28" s="4" t="s">
        <v>340</v>
      </c>
      <c r="E28" s="4" t="s">
        <v>341</v>
      </c>
      <c r="F28" s="4"/>
    </row>
    <row r="29" spans="1:6">
      <c r="A29" t="str">
        <f>"qobserved"</f>
        <v>qobserved</v>
      </c>
      <c r="B29" s="4" t="s">
        <v>342</v>
      </c>
      <c r="C29" s="4" t="s">
        <v>343</v>
      </c>
      <c r="D29" s="4" t="s">
        <v>344</v>
      </c>
      <c r="E29" s="4"/>
      <c r="F29" s="4"/>
    </row>
    <row r="30" spans="1:6">
      <c r="A30" t="str">
        <f>""</f>
        <v/>
      </c>
      <c r="B30" s="4" t="s">
        <v>346</v>
      </c>
      <c r="C30" s="4" t="s">
        <v>347</v>
      </c>
      <c r="D30" s="4" t="s">
        <v>348</v>
      </c>
      <c r="E30" s="4"/>
      <c r="F30" s="4"/>
    </row>
    <row r="31" spans="1:6">
      <c r="A31" t="str">
        <f>"Observations"</f>
        <v>Observations</v>
      </c>
      <c r="B31" s="19">
        <v>2523000000</v>
      </c>
      <c r="C31" s="19">
        <v>1835000000</v>
      </c>
      <c r="D31" s="19">
        <v>687200000</v>
      </c>
      <c r="E31" s="19">
        <v>193400000</v>
      </c>
      <c r="F31" s="19">
        <v>67170000</v>
      </c>
    </row>
    <row r="32" spans="1:6">
      <c r="A32" t="str">
        <f>"Unique PIKs"</f>
        <v>Unique PIKs</v>
      </c>
      <c r="B32" s="19">
        <v>112100000</v>
      </c>
      <c r="C32" s="19">
        <v>78590000</v>
      </c>
      <c r="D32" s="19">
        <v>33520000</v>
      </c>
      <c r="E32" s="19">
        <v>19340000</v>
      </c>
      <c r="F32" s="19">
        <v>6717000</v>
      </c>
    </row>
  </sheetData>
  <mergeCells count="1">
    <mergeCell ref="C4:D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zoomScale="85" zoomScaleNormal="85" workbookViewId="0">
      <selection activeCell="G10" sqref="G10"/>
    </sheetView>
  </sheetViews>
  <sheetFormatPr baseColWidth="10" defaultColWidth="9.1640625" defaultRowHeight="15"/>
  <cols>
    <col min="1" max="1" width="41" style="2" customWidth="1"/>
    <col min="2" max="3" width="16.33203125" style="2" customWidth="1"/>
    <col min="4" max="16384" width="9.1640625" style="2"/>
  </cols>
  <sheetData>
    <row r="1" spans="1:7">
      <c r="A1" s="16" t="s">
        <v>209</v>
      </c>
      <c r="B1" s="4"/>
      <c r="C1" s="4"/>
    </row>
    <row r="2" spans="1:7">
      <c r="B2" s="4"/>
      <c r="C2" s="4"/>
    </row>
    <row r="3" spans="1:7">
      <c r="B3" s="58" t="s">
        <v>41</v>
      </c>
      <c r="C3" s="58"/>
    </row>
    <row r="4" spans="1:7">
      <c r="B4" s="4" t="s">
        <v>3</v>
      </c>
      <c r="C4" s="4" t="s">
        <v>2</v>
      </c>
    </row>
    <row r="5" spans="1:7">
      <c r="B5" s="4"/>
      <c r="C5" s="4"/>
    </row>
    <row r="6" spans="1:7">
      <c r="B6" s="18" t="s">
        <v>14</v>
      </c>
      <c r="C6" s="18" t="s">
        <v>14</v>
      </c>
    </row>
    <row r="7" spans="1:7">
      <c r="A7" s="2" t="s">
        <v>15</v>
      </c>
      <c r="B7" s="4">
        <v>0.65259999999999996</v>
      </c>
      <c r="C7" s="4">
        <v>0.1467</v>
      </c>
    </row>
    <row r="8" spans="1:7">
      <c r="A8" s="2" t="s">
        <v>27</v>
      </c>
      <c r="B8" s="20">
        <v>0.64439999999999997</v>
      </c>
      <c r="C8" s="20">
        <v>0.30330000000000001</v>
      </c>
    </row>
    <row r="9" spans="1:7">
      <c r="A9" s="2" t="s">
        <v>28</v>
      </c>
      <c r="B9" s="20">
        <v>0.1166</v>
      </c>
      <c r="C9" s="20">
        <v>0.29260000000000003</v>
      </c>
      <c r="F9" s="2">
        <f>B9*B7^2</f>
        <v>4.9658396215999989E-2</v>
      </c>
      <c r="G9" s="2">
        <f>F9^0.5</f>
        <v>0.22284163932263645</v>
      </c>
    </row>
    <row r="10" spans="1:7">
      <c r="A10" s="2" t="s">
        <v>29</v>
      </c>
      <c r="B10" s="20">
        <v>4.2590000000000003E-2</v>
      </c>
      <c r="C10" s="20">
        <v>1.5280000000000001E-3</v>
      </c>
    </row>
    <row r="11" spans="1:7">
      <c r="A11" s="2" t="s">
        <v>30</v>
      </c>
      <c r="B11" s="20">
        <v>0.1265</v>
      </c>
      <c r="C11" s="20"/>
    </row>
    <row r="12" spans="1:7">
      <c r="A12" s="2" t="s">
        <v>31</v>
      </c>
      <c r="B12" s="20">
        <v>0.1</v>
      </c>
      <c r="C12" s="20">
        <v>0.38240000000000002</v>
      </c>
    </row>
    <row r="13" spans="1:7">
      <c r="A13" s="2" t="s">
        <v>32</v>
      </c>
      <c r="B13" s="20">
        <v>-3.3099999999999997E-2</v>
      </c>
      <c r="C13" s="20">
        <v>9.7990000000000004E-3</v>
      </c>
    </row>
    <row r="14" spans="1:7">
      <c r="A14" s="2" t="s">
        <v>33</v>
      </c>
      <c r="B14" s="20">
        <v>0</v>
      </c>
      <c r="C14" s="20"/>
    </row>
    <row r="15" spans="1:7">
      <c r="A15" s="2" t="s">
        <v>34</v>
      </c>
      <c r="B15" s="20">
        <v>2.885E-3</v>
      </c>
      <c r="C15" s="20">
        <v>1.0370000000000001E-2</v>
      </c>
    </row>
    <row r="16" spans="1:7">
      <c r="A16" s="2" t="s">
        <v>35</v>
      </c>
      <c r="B16" s="20">
        <v>0</v>
      </c>
      <c r="C16" s="20"/>
    </row>
    <row r="17" spans="1:3">
      <c r="A17" s="2" t="s">
        <v>36</v>
      </c>
      <c r="B17" s="20">
        <v>1.8599999999999999E-4</v>
      </c>
      <c r="C17" s="20"/>
    </row>
    <row r="18" spans="1:3">
      <c r="A18" s="2" t="str">
        <f>"Number of Person-quarter observations"</f>
        <v>Number of Person-quarter observations</v>
      </c>
      <c r="B18" s="60">
        <v>2523000000</v>
      </c>
      <c r="C18" s="60"/>
    </row>
    <row r="23" spans="1:3">
      <c r="A23" s="2" t="s">
        <v>586</v>
      </c>
      <c r="B23" s="52">
        <f>+B8+B9+B10+B11</f>
        <v>0.93009000000000008</v>
      </c>
    </row>
    <row r="24" spans="1:3">
      <c r="A24" s="2" t="s">
        <v>587</v>
      </c>
      <c r="B24" s="52">
        <f>+SUM(B12:B17)</f>
        <v>6.9971000000000019E-2</v>
      </c>
    </row>
    <row r="26" spans="1:3">
      <c r="A26" s="2" t="s">
        <v>588</v>
      </c>
      <c r="B26" s="2">
        <f>+B12/(2*B9)</f>
        <v>0.42881646655231564</v>
      </c>
    </row>
    <row r="28" spans="1:3">
      <c r="A28" s="2" t="s">
        <v>589</v>
      </c>
      <c r="B28" s="2">
        <f>+B12/(2*SQRT(B8*B9))</f>
        <v>0.18240761429379052</v>
      </c>
    </row>
  </sheetData>
  <mergeCells count="2">
    <mergeCell ref="B3:C3"/>
    <mergeCell ref="B18:C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zoomScale="70" zoomScaleNormal="70" workbookViewId="0">
      <selection activeCell="A3" sqref="A3:XFD3"/>
    </sheetView>
  </sheetViews>
  <sheetFormatPr baseColWidth="10" defaultColWidth="8.83203125" defaultRowHeight="15"/>
  <cols>
    <col min="1" max="1" width="47.33203125" customWidth="1"/>
    <col min="2" max="3" width="15.33203125" bestFit="1" customWidth="1"/>
  </cols>
  <sheetData>
    <row r="1" spans="1:6">
      <c r="A1" s="2" t="s">
        <v>0</v>
      </c>
      <c r="B1" s="1"/>
      <c r="C1" s="1"/>
      <c r="D1" s="1"/>
      <c r="E1" s="1"/>
      <c r="F1" s="1"/>
    </row>
    <row r="2" spans="1:6">
      <c r="B2" s="1"/>
      <c r="C2" s="1"/>
      <c r="D2" s="1"/>
      <c r="E2" s="1"/>
      <c r="F2" s="1"/>
    </row>
    <row r="3" spans="1:6">
      <c r="A3" s="9"/>
      <c r="B3" s="1"/>
      <c r="C3" s="1"/>
      <c r="D3" s="1"/>
      <c r="E3" s="1"/>
      <c r="F3" s="1"/>
    </row>
    <row r="4" spans="1:6">
      <c r="B4" s="58" t="s">
        <v>41</v>
      </c>
      <c r="C4" s="59"/>
    </row>
    <row r="5" spans="1:6">
      <c r="B5" s="58"/>
      <c r="C5" s="59"/>
    </row>
    <row r="6" spans="1:6">
      <c r="B6" s="58" t="s">
        <v>48</v>
      </c>
      <c r="C6" s="59"/>
    </row>
    <row r="7" spans="1:6">
      <c r="A7" t="str">
        <f>""</f>
        <v/>
      </c>
      <c r="B7" s="1" t="str">
        <f>"(1)"</f>
        <v>(1)</v>
      </c>
      <c r="C7" s="1" t="str">
        <f>"(2)"</f>
        <v>(2)</v>
      </c>
    </row>
    <row r="8" spans="1:6">
      <c r="A8" s="1" t="s">
        <v>1</v>
      </c>
      <c r="B8" s="1" t="s">
        <v>206</v>
      </c>
      <c r="C8" s="1" t="s">
        <v>207</v>
      </c>
    </row>
    <row r="10" spans="1:6">
      <c r="A10" t="str">
        <f>"timeinGall"</f>
        <v>timeinGall</v>
      </c>
      <c r="B10" s="44">
        <v>4.267E-3</v>
      </c>
      <c r="C10" s="44" t="str">
        <f>".003482"</f>
        <v>.003482</v>
      </c>
    </row>
    <row r="11" spans="1:6">
      <c r="A11" t="str">
        <f>""</f>
        <v/>
      </c>
      <c r="B11" s="44" t="str">
        <f>"(.0003357)"</f>
        <v>(.0003357)</v>
      </c>
      <c r="C11" s="44" t="str">
        <f>"(.0003689)"</f>
        <v>(.0003689)</v>
      </c>
    </row>
    <row r="12" spans="1:6">
      <c r="B12" s="44"/>
      <c r="C12" s="44"/>
    </row>
    <row r="13" spans="1:6">
      <c r="A13" t="str">
        <f>"timeintop10"</f>
        <v>timeintop10</v>
      </c>
      <c r="B13" s="44">
        <v>4.0610000000000004E-3</v>
      </c>
      <c r="C13" s="44" t="str">
        <f>""</f>
        <v/>
      </c>
    </row>
    <row r="14" spans="1:6">
      <c r="A14" t="str">
        <f>""</f>
        <v/>
      </c>
      <c r="B14" s="44" t="str">
        <f>"(.001727)"</f>
        <v>(.001727)</v>
      </c>
      <c r="C14" s="44" t="str">
        <f>""</f>
        <v/>
      </c>
    </row>
    <row r="15" spans="1:6">
      <c r="B15" s="44"/>
      <c r="C15" s="44"/>
    </row>
    <row r="16" spans="1:6">
      <c r="A16" t="str">
        <f>"1.intop10 # c.timeinGall"</f>
        <v>1.intop10 # c.timeinGall</v>
      </c>
      <c r="B16" s="44">
        <v>1.7899999999999999E-3</v>
      </c>
      <c r="C16" s="44" t="str">
        <f>""</f>
        <v/>
      </c>
    </row>
    <row r="17" spans="1:3">
      <c r="A17" t="str">
        <f>""</f>
        <v/>
      </c>
      <c r="B17" s="44" t="str">
        <f>"(.001655)"</f>
        <v>(.001655)</v>
      </c>
      <c r="C17" s="44" t="str">
        <f>""</f>
        <v/>
      </c>
    </row>
    <row r="18" spans="1:3">
      <c r="B18" s="44"/>
      <c r="C18" s="44"/>
    </row>
    <row r="19" spans="1:3">
      <c r="A19" t="str">
        <f>"1.intop10 # c.timeintop10"</f>
        <v>1.intop10 # c.timeintop10</v>
      </c>
      <c r="B19" s="44">
        <v>-1.9610000000000001E-3</v>
      </c>
      <c r="C19" s="44" t="str">
        <f>""</f>
        <v/>
      </c>
    </row>
    <row r="20" spans="1:3">
      <c r="A20" t="str">
        <f>""</f>
        <v/>
      </c>
      <c r="B20" s="44" t="str">
        <f>"(.0003007)"</f>
        <v>(.0003007)</v>
      </c>
      <c r="C20" s="44" t="str">
        <f>""</f>
        <v/>
      </c>
    </row>
    <row r="21" spans="1:3">
      <c r="B21" s="44"/>
      <c r="C21" s="44"/>
    </row>
    <row r="22" spans="1:3">
      <c r="A22" t="str">
        <f>"timeintop25"</f>
        <v>timeintop25</v>
      </c>
      <c r="B22" s="44" t="str">
        <f>""</f>
        <v/>
      </c>
      <c r="C22" s="44" t="str">
        <f>".003954"</f>
        <v>.003954</v>
      </c>
    </row>
    <row r="23" spans="1:3">
      <c r="A23" t="str">
        <f>""</f>
        <v/>
      </c>
      <c r="B23" s="44" t="str">
        <f>""</f>
        <v/>
      </c>
      <c r="C23" s="44" t="str">
        <f>"(.0009851)"</f>
        <v>(.0009851)</v>
      </c>
    </row>
    <row r="24" spans="1:3">
      <c r="B24" s="44"/>
      <c r="C24" s="44"/>
    </row>
    <row r="25" spans="1:3">
      <c r="A25" t="str">
        <f>"1.intop25 # c.timeinGall"</f>
        <v>1.intop25 # c.timeinGall</v>
      </c>
      <c r="B25" s="44" t="str">
        <f>""</f>
        <v/>
      </c>
      <c r="C25" s="44" t="str">
        <f>".0004641"</f>
        <v>.0004641</v>
      </c>
    </row>
    <row r="26" spans="1:3">
      <c r="A26" t="str">
        <f>""</f>
        <v/>
      </c>
      <c r="B26" s="44" t="str">
        <f>""</f>
        <v/>
      </c>
      <c r="C26" s="44" t="str">
        <f>"(.0009549)"</f>
        <v>(.0009549)</v>
      </c>
    </row>
    <row r="27" spans="1:3">
      <c r="B27" s="44"/>
      <c r="C27" s="44"/>
    </row>
    <row r="28" spans="1:3">
      <c r="A28" t="str">
        <f>"1.intop25 # c.timeintop25"</f>
        <v>1.intop25 # c.timeintop25</v>
      </c>
      <c r="B28" s="44" t="str">
        <f>""</f>
        <v/>
      </c>
      <c r="C28" s="44" t="str">
        <f>"-.000383"</f>
        <v>-.000383</v>
      </c>
    </row>
    <row r="29" spans="1:3">
      <c r="A29" t="str">
        <f>""</f>
        <v/>
      </c>
      <c r="B29" s="44" t="str">
        <f>""</f>
        <v/>
      </c>
      <c r="C29" s="44" t="str">
        <f>"(.0002544)"</f>
        <v>(.0002544)</v>
      </c>
    </row>
    <row r="30" spans="1:3">
      <c r="B30" s="7"/>
      <c r="C30" s="7"/>
    </row>
    <row r="31" spans="1:3">
      <c r="B31" s="7"/>
      <c r="C31" s="7"/>
    </row>
    <row r="32" spans="1:3">
      <c r="A32" t="str">
        <f>"Number of Person-quarter observations"</f>
        <v>Number of Person-quarter observations</v>
      </c>
      <c r="B32" s="49">
        <v>478600000</v>
      </c>
      <c r="C32" s="49">
        <v>478600000</v>
      </c>
    </row>
  </sheetData>
  <mergeCells count="3">
    <mergeCell ref="B6:C6"/>
    <mergeCell ref="B5:C5"/>
    <mergeCell ref="B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zoomScale="70" zoomScaleNormal="70" workbookViewId="0"/>
  </sheetViews>
  <sheetFormatPr baseColWidth="10" defaultColWidth="9.1640625" defaultRowHeight="15"/>
  <cols>
    <col min="1" max="1" width="17.83203125" style="2" customWidth="1"/>
    <col min="2" max="3" width="17.83203125" style="4" customWidth="1"/>
    <col min="4" max="4" width="19" style="4" bestFit="1" customWidth="1"/>
    <col min="5" max="6" width="17.83203125" style="4" customWidth="1"/>
    <col min="7" max="12" width="8.83203125" style="4" customWidth="1"/>
    <col min="13" max="16384" width="9.1640625" style="2"/>
  </cols>
  <sheetData>
    <row r="1" spans="1:6">
      <c r="A1" s="17" t="s">
        <v>4</v>
      </c>
      <c r="F1" s="2"/>
    </row>
    <row r="2" spans="1:6">
      <c r="A2" s="4"/>
      <c r="B2" s="61" t="s">
        <v>41</v>
      </c>
      <c r="C2" s="58"/>
      <c r="D2" s="58"/>
      <c r="E2" s="58"/>
      <c r="F2" s="62"/>
    </row>
    <row r="3" spans="1:6">
      <c r="A3" s="4"/>
      <c r="B3" s="3">
        <v>1</v>
      </c>
      <c r="C3" s="4">
        <v>2</v>
      </c>
      <c r="D3" s="4">
        <v>3</v>
      </c>
      <c r="E3" s="4">
        <v>4</v>
      </c>
      <c r="F3" s="5">
        <v>5</v>
      </c>
    </row>
    <row r="4" spans="1:6">
      <c r="A4" s="4"/>
      <c r="B4" s="3" t="s">
        <v>8</v>
      </c>
      <c r="C4" s="4" t="s">
        <v>9</v>
      </c>
      <c r="D4" s="4" t="s">
        <v>10</v>
      </c>
      <c r="E4" s="4" t="s">
        <v>11</v>
      </c>
      <c r="F4" s="5" t="s">
        <v>12</v>
      </c>
    </row>
    <row r="5" spans="1:6">
      <c r="A5" s="4"/>
      <c r="B5" s="3"/>
      <c r="F5" s="5"/>
    </row>
    <row r="6" spans="1:6">
      <c r="A6" s="4" t="s">
        <v>5</v>
      </c>
      <c r="B6" s="3" t="str">
        <f>""</f>
        <v/>
      </c>
      <c r="C6" s="4" t="str">
        <f>""</f>
        <v/>
      </c>
      <c r="D6" s="4" t="str">
        <f>""</f>
        <v/>
      </c>
      <c r="E6" s="4" t="str">
        <f>"0.451***"</f>
        <v>0.451***</v>
      </c>
      <c r="F6" s="5" t="str">
        <f>""</f>
        <v/>
      </c>
    </row>
    <row r="7" spans="1:6">
      <c r="A7" s="4"/>
      <c r="B7" s="3" t="str">
        <f>""</f>
        <v/>
      </c>
      <c r="C7" s="4" t="str">
        <f>""</f>
        <v/>
      </c>
      <c r="D7" s="4" t="str">
        <f>""</f>
        <v/>
      </c>
      <c r="E7" s="4" t="str">
        <f>"(0.0325)"</f>
        <v>(0.0325)</v>
      </c>
      <c r="F7" s="5" t="str">
        <f>""</f>
        <v/>
      </c>
    </row>
    <row r="8" spans="1:6">
      <c r="A8" s="4"/>
      <c r="B8" s="3"/>
      <c r="F8" s="5"/>
    </row>
    <row r="9" spans="1:6">
      <c r="A9" s="4" t="s">
        <v>13</v>
      </c>
      <c r="B9" s="3" t="str">
        <f>""</f>
        <v/>
      </c>
      <c r="C9" s="4" t="str">
        <f>""</f>
        <v/>
      </c>
      <c r="D9" s="4" t="str">
        <f>""</f>
        <v/>
      </c>
      <c r="E9" s="4" t="str">
        <f>""</f>
        <v/>
      </c>
      <c r="F9" s="5" t="str">
        <f>"0.0440***"</f>
        <v>0.0440***</v>
      </c>
    </row>
    <row r="10" spans="1:6">
      <c r="A10" s="4"/>
      <c r="B10" s="3" t="str">
        <f>""</f>
        <v/>
      </c>
      <c r="C10" s="4" t="str">
        <f>""</f>
        <v/>
      </c>
      <c r="D10" s="4" t="str">
        <f>""</f>
        <v/>
      </c>
      <c r="E10" s="4" t="str">
        <f>""</f>
        <v/>
      </c>
      <c r="F10" s="5" t="str">
        <f>"(0.00244)"</f>
        <v>(0.00244)</v>
      </c>
    </row>
    <row r="11" spans="1:6">
      <c r="A11" s="4"/>
      <c r="B11" s="3"/>
      <c r="F11" s="5"/>
    </row>
    <row r="12" spans="1:6">
      <c r="A12" s="2" t="s">
        <v>49</v>
      </c>
      <c r="B12" s="21">
        <v>17000</v>
      </c>
      <c r="C12" s="19">
        <v>17000</v>
      </c>
      <c r="D12" s="19">
        <v>17000</v>
      </c>
      <c r="E12" s="19">
        <v>17000</v>
      </c>
      <c r="F12" s="22">
        <v>17000</v>
      </c>
    </row>
    <row r="13" spans="1:6">
      <c r="A13" s="2" t="str">
        <f>"Number of Person-quarter observations"</f>
        <v>Number of Person-quarter observations</v>
      </c>
      <c r="B13" s="21">
        <v>2523000000</v>
      </c>
      <c r="C13" s="21">
        <v>2523000000</v>
      </c>
      <c r="D13" s="21">
        <v>2523000000</v>
      </c>
      <c r="E13" s="21">
        <v>2523000000</v>
      </c>
      <c r="F13" s="21">
        <v>2523000000</v>
      </c>
    </row>
    <row r="14" spans="1:6">
      <c r="A14" s="4" t="s">
        <v>6</v>
      </c>
      <c r="B14" s="3" t="str">
        <f>"0.326"</f>
        <v>0.326</v>
      </c>
      <c r="C14" s="4" t="str">
        <f>"0.570"</f>
        <v>0.570</v>
      </c>
      <c r="D14" s="4" t="str">
        <f>"0.873"</f>
        <v>0.873</v>
      </c>
      <c r="E14" s="4" t="str">
        <f>"0.885"</f>
        <v>0.885</v>
      </c>
      <c r="F14" s="5" t="str">
        <f>"0.892"</f>
        <v>0.892</v>
      </c>
    </row>
    <row r="15" spans="1:6">
      <c r="A15" s="4" t="s">
        <v>7</v>
      </c>
      <c r="B15" s="3" t="str">
        <f>"0.117"</f>
        <v>0.117</v>
      </c>
      <c r="C15" s="4" t="str">
        <f>"0.0912"</f>
        <v>0.0912</v>
      </c>
      <c r="D15" s="4" t="str">
        <f>"0.0506"</f>
        <v>0.0506</v>
      </c>
      <c r="E15" s="4" t="str">
        <f>"0.0483"</f>
        <v>0.0483</v>
      </c>
      <c r="F15" s="5" t="str">
        <f>"0.0467"</f>
        <v>0.0467</v>
      </c>
    </row>
  </sheetData>
  <mergeCells count="1">
    <mergeCell ref="B2:F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"/>
  <sheetViews>
    <sheetView zoomScale="89" zoomScaleNormal="89" workbookViewId="0"/>
  </sheetViews>
  <sheetFormatPr baseColWidth="10" defaultColWidth="9.1640625" defaultRowHeight="15"/>
  <cols>
    <col min="1" max="1" width="41" style="2" customWidth="1"/>
    <col min="2" max="3" width="33.33203125" style="4" customWidth="1"/>
    <col min="4" max="16384" width="9.1640625" style="2"/>
  </cols>
  <sheetData>
    <row r="1" spans="1:3">
      <c r="A1" s="16" t="s">
        <v>50</v>
      </c>
    </row>
    <row r="2" spans="1:3">
      <c r="B2" s="58" t="s">
        <v>41</v>
      </c>
      <c r="C2" s="58"/>
    </row>
    <row r="3" spans="1:3">
      <c r="B3" s="23" t="s">
        <v>51</v>
      </c>
      <c r="C3" s="23" t="s">
        <v>52</v>
      </c>
    </row>
    <row r="4" spans="1:3">
      <c r="B4" s="18" t="s">
        <v>14</v>
      </c>
      <c r="C4" s="18" t="s">
        <v>14</v>
      </c>
    </row>
    <row r="5" spans="1:3">
      <c r="A5" s="2" t="s">
        <v>16</v>
      </c>
      <c r="B5" s="4">
        <v>7.9339999999999994E-2</v>
      </c>
      <c r="C5" s="4">
        <v>7.9339999999999994E-2</v>
      </c>
    </row>
    <row r="6" spans="1:3">
      <c r="A6" s="2" t="s">
        <v>17</v>
      </c>
    </row>
    <row r="7" spans="1:3">
      <c r="A7" s="2" t="s">
        <v>18</v>
      </c>
      <c r="B7" s="4">
        <v>0.94240000000000002</v>
      </c>
      <c r="C7" s="4">
        <v>0.91300000000000003</v>
      </c>
    </row>
    <row r="8" spans="1:3">
      <c r="A8" s="2" t="s">
        <v>19</v>
      </c>
      <c r="B8" s="4">
        <v>2.5219999999999999E-2</v>
      </c>
      <c r="C8" s="4">
        <v>2.5780000000000001E-2</v>
      </c>
    </row>
    <row r="9" spans="1:3">
      <c r="A9" s="2" t="s">
        <v>20</v>
      </c>
      <c r="B9" s="4">
        <v>2.197E-2</v>
      </c>
      <c r="C9" s="4">
        <v>4.3990000000000001E-2</v>
      </c>
    </row>
    <row r="10" spans="1:3">
      <c r="A10" s="2" t="s">
        <v>21</v>
      </c>
    </row>
    <row r="11" spans="1:3">
      <c r="A11" s="2" t="s">
        <v>22</v>
      </c>
    </row>
    <row r="12" spans="1:3">
      <c r="A12" s="2" t="s">
        <v>23</v>
      </c>
    </row>
    <row r="13" spans="1:3">
      <c r="A13" s="2" t="s">
        <v>24</v>
      </c>
      <c r="B13" s="4">
        <v>1.521E-2</v>
      </c>
      <c r="C13" s="4">
        <v>6.3539999999999999E-2</v>
      </c>
    </row>
    <row r="14" spans="1:3">
      <c r="A14" s="2" t="s">
        <v>25</v>
      </c>
      <c r="B14" s="4">
        <v>-5.8929999999999998E-3</v>
      </c>
      <c r="C14" s="4">
        <v>-5.4350000000000002E-2</v>
      </c>
    </row>
    <row r="15" spans="1:3">
      <c r="A15" s="2" t="s">
        <v>26</v>
      </c>
      <c r="B15" s="4">
        <v>1.096E-3</v>
      </c>
      <c r="C15" s="4">
        <v>8.0370000000000007E-3</v>
      </c>
    </row>
    <row r="16" spans="1:3">
      <c r="A16" s="2" t="str">
        <f>"Number of Person-quarter observations"</f>
        <v>Number of Person-quarter observations</v>
      </c>
      <c r="B16" s="60">
        <v>2523000000</v>
      </c>
      <c r="C16" s="60"/>
    </row>
    <row r="17" spans="2:3">
      <c r="B17" s="6"/>
      <c r="C17" s="6"/>
    </row>
    <row r="18" spans="2:3">
      <c r="B18" s="19"/>
      <c r="C18" s="19"/>
    </row>
    <row r="22" spans="2:3">
      <c r="B22" s="58"/>
      <c r="C22" s="58"/>
    </row>
    <row r="25" spans="2:3">
      <c r="B25" s="18"/>
      <c r="C25" s="18"/>
    </row>
    <row r="27" spans="2:3">
      <c r="B27" s="6"/>
      <c r="C27" s="6"/>
    </row>
    <row r="28" spans="2:3">
      <c r="B28" s="6"/>
      <c r="C28" s="6"/>
    </row>
    <row r="29" spans="2:3">
      <c r="B29" s="6"/>
      <c r="C29" s="6"/>
    </row>
    <row r="30" spans="2:3">
      <c r="B30" s="6"/>
      <c r="C30" s="6"/>
    </row>
    <row r="31" spans="2:3">
      <c r="B31" s="6"/>
      <c r="C31" s="6"/>
    </row>
    <row r="32" spans="2:3">
      <c r="B32" s="6"/>
      <c r="C32" s="6"/>
    </row>
    <row r="33" spans="2:3">
      <c r="B33" s="6"/>
      <c r="C33" s="6"/>
    </row>
    <row r="34" spans="2:3">
      <c r="B34" s="6"/>
      <c r="C34" s="6"/>
    </row>
    <row r="35" spans="2:3">
      <c r="B35" s="6"/>
      <c r="C35" s="6"/>
    </row>
    <row r="36" spans="2:3">
      <c r="B36" s="6"/>
      <c r="C36" s="6"/>
    </row>
    <row r="37" spans="2:3">
      <c r="B37" s="19"/>
      <c r="C37" s="19"/>
    </row>
  </sheetData>
  <mergeCells count="3">
    <mergeCell ref="B22:C22"/>
    <mergeCell ref="B2:C2"/>
    <mergeCell ref="B16:C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9"/>
  <sheetViews>
    <sheetView zoomScale="70" zoomScaleNormal="70" workbookViewId="0"/>
  </sheetViews>
  <sheetFormatPr baseColWidth="10" defaultColWidth="9.1640625" defaultRowHeight="15"/>
  <cols>
    <col min="1" max="1" width="38.1640625" style="2" customWidth="1"/>
    <col min="2" max="7" width="10.33203125" style="4" customWidth="1"/>
    <col min="8" max="10" width="8.83203125" style="4"/>
    <col min="11" max="11" width="14" style="4" customWidth="1"/>
    <col min="12" max="12" width="8.83203125" style="4" customWidth="1"/>
    <col min="13" max="16384" width="9.1640625" style="2"/>
  </cols>
  <sheetData>
    <row r="1" spans="1:12">
      <c r="A1" s="16" t="str">
        <f>"Regressions y  pe  fe sdpe pedec1 pedec10 on earnings &amp; size &amp; education (CZ level)"</f>
        <v>Regressions y  pe  fe sdpe pedec1 pedec10 on earnings &amp; size &amp; education (CZ level)</v>
      </c>
      <c r="H1" s="9"/>
    </row>
    <row r="3" spans="1:12">
      <c r="A3" s="2" t="str">
        <f>""</f>
        <v/>
      </c>
      <c r="B3" s="2"/>
      <c r="C3" s="2"/>
      <c r="D3" s="2"/>
      <c r="E3" s="2"/>
      <c r="F3" s="2"/>
      <c r="G3" s="2"/>
      <c r="K3" s="15"/>
    </row>
    <row r="4" spans="1:12">
      <c r="A4" s="2" t="str">
        <f>""</f>
        <v/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  <c r="H4" s="4" t="s">
        <v>64</v>
      </c>
      <c r="I4" s="4" t="s">
        <v>65</v>
      </c>
      <c r="J4" s="4" t="s">
        <v>66</v>
      </c>
      <c r="K4" s="4" t="s">
        <v>268</v>
      </c>
      <c r="L4" s="2"/>
    </row>
    <row r="5" spans="1:12">
      <c r="L5" s="2"/>
    </row>
    <row r="6" spans="1:12">
      <c r="A6" s="2" t="s">
        <v>61</v>
      </c>
      <c r="C6" s="4" t="s">
        <v>210</v>
      </c>
      <c r="D6" s="4" t="s">
        <v>211</v>
      </c>
      <c r="E6" s="4" t="s">
        <v>238</v>
      </c>
      <c r="F6" s="4" t="s">
        <v>226</v>
      </c>
      <c r="G6" s="4" t="s">
        <v>227</v>
      </c>
      <c r="H6" s="4" t="s">
        <v>244</v>
      </c>
      <c r="I6" s="4" t="s">
        <v>245</v>
      </c>
      <c r="J6" s="4" t="s">
        <v>246</v>
      </c>
      <c r="K6" s="4" t="s">
        <v>247</v>
      </c>
      <c r="L6" s="2"/>
    </row>
    <row r="7" spans="1:12">
      <c r="C7" s="4" t="s">
        <v>212</v>
      </c>
      <c r="D7" s="4" t="s">
        <v>213</v>
      </c>
      <c r="E7" s="4" t="s">
        <v>239</v>
      </c>
      <c r="F7" s="4" t="s">
        <v>228</v>
      </c>
      <c r="G7" s="4" t="s">
        <v>229</v>
      </c>
      <c r="H7" s="4" t="s">
        <v>248</v>
      </c>
      <c r="I7" s="4" t="s">
        <v>249</v>
      </c>
      <c r="J7" s="4" t="s">
        <v>250</v>
      </c>
      <c r="K7" s="4" t="s">
        <v>251</v>
      </c>
      <c r="L7" s="2"/>
    </row>
    <row r="8" spans="1:12">
      <c r="L8" s="2"/>
    </row>
    <row r="9" spans="1:12">
      <c r="L9" s="2"/>
    </row>
    <row r="10" spans="1:12">
      <c r="A10" s="2" t="s">
        <v>62</v>
      </c>
      <c r="B10" s="4" t="s">
        <v>214</v>
      </c>
      <c r="C10" s="4" t="s">
        <v>215</v>
      </c>
      <c r="D10" s="4" t="s">
        <v>216</v>
      </c>
      <c r="E10" s="4" t="s">
        <v>240</v>
      </c>
      <c r="F10" s="4" t="s">
        <v>230</v>
      </c>
      <c r="G10" s="4" t="s">
        <v>231</v>
      </c>
      <c r="H10" s="4" t="s">
        <v>252</v>
      </c>
      <c r="I10" s="4" t="s">
        <v>253</v>
      </c>
      <c r="J10" s="4" t="s">
        <v>254</v>
      </c>
      <c r="K10" s="4" t="s">
        <v>255</v>
      </c>
      <c r="L10" s="2"/>
    </row>
    <row r="11" spans="1:12">
      <c r="B11" s="4" t="s">
        <v>217</v>
      </c>
      <c r="C11" s="4" t="s">
        <v>218</v>
      </c>
      <c r="D11" s="4" t="s">
        <v>219</v>
      </c>
      <c r="E11" s="4" t="s">
        <v>241</v>
      </c>
      <c r="F11" s="4" t="s">
        <v>232</v>
      </c>
      <c r="G11" s="4" t="s">
        <v>233</v>
      </c>
      <c r="H11" s="4" t="s">
        <v>256</v>
      </c>
      <c r="I11" s="4" t="s">
        <v>257</v>
      </c>
      <c r="J11" s="4" t="s">
        <v>258</v>
      </c>
      <c r="K11" s="4" t="s">
        <v>259</v>
      </c>
      <c r="L11" s="2"/>
    </row>
    <row r="12" spans="1:12">
      <c r="L12" s="2"/>
    </row>
    <row r="13" spans="1:12">
      <c r="A13" s="2" t="s">
        <v>63</v>
      </c>
      <c r="B13" s="4" t="s">
        <v>220</v>
      </c>
      <c r="C13" s="4" t="s">
        <v>221</v>
      </c>
      <c r="D13" s="4" t="s">
        <v>222</v>
      </c>
      <c r="E13" s="4" t="s">
        <v>242</v>
      </c>
      <c r="F13" s="4" t="s">
        <v>234</v>
      </c>
      <c r="G13" s="4" t="s">
        <v>235</v>
      </c>
      <c r="H13" s="4" t="s">
        <v>260</v>
      </c>
      <c r="I13" s="4" t="s">
        <v>261</v>
      </c>
      <c r="J13" s="4" t="s">
        <v>262</v>
      </c>
      <c r="K13" s="4" t="s">
        <v>263</v>
      </c>
      <c r="L13" s="2"/>
    </row>
    <row r="14" spans="1:12">
      <c r="A14" s="2" t="str">
        <f>""</f>
        <v/>
      </c>
      <c r="B14" s="4" t="s">
        <v>223</v>
      </c>
      <c r="C14" s="4" t="s">
        <v>224</v>
      </c>
      <c r="D14" s="4" t="s">
        <v>225</v>
      </c>
      <c r="E14" s="4" t="s">
        <v>243</v>
      </c>
      <c r="F14" s="4" t="s">
        <v>236</v>
      </c>
      <c r="G14" s="4" t="s">
        <v>237</v>
      </c>
      <c r="H14" s="4" t="s">
        <v>264</v>
      </c>
      <c r="I14" s="4" t="s">
        <v>265</v>
      </c>
      <c r="J14" s="4" t="s">
        <v>266</v>
      </c>
      <c r="K14" s="4" t="s">
        <v>267</v>
      </c>
      <c r="L14" s="2"/>
    </row>
    <row r="18" spans="1:11">
      <c r="A18" s="2" t="s">
        <v>59</v>
      </c>
      <c r="B18" s="60">
        <f>112100000</f>
        <v>112100000</v>
      </c>
      <c r="C18" s="60"/>
      <c r="D18" s="60"/>
      <c r="E18" s="60"/>
      <c r="F18" s="60"/>
      <c r="G18" s="60"/>
      <c r="H18" s="60"/>
      <c r="I18" s="60"/>
      <c r="J18" s="60"/>
      <c r="K18" s="60"/>
    </row>
    <row r="19" spans="1:11">
      <c r="A19" s="2" t="s">
        <v>60</v>
      </c>
      <c r="B19" s="60">
        <f>2523000000</f>
        <v>2523000000</v>
      </c>
      <c r="C19" s="60"/>
      <c r="D19" s="60"/>
      <c r="E19" s="60"/>
      <c r="F19" s="60"/>
      <c r="G19" s="60"/>
      <c r="H19" s="60"/>
      <c r="I19" s="60"/>
      <c r="J19" s="60"/>
      <c r="K19" s="60"/>
    </row>
  </sheetData>
  <mergeCells count="2">
    <mergeCell ref="B18:K18"/>
    <mergeCell ref="B19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zoomScale="85" zoomScaleNormal="85" workbookViewId="0"/>
  </sheetViews>
  <sheetFormatPr baseColWidth="10" defaultColWidth="8.83203125" defaultRowHeight="15"/>
  <cols>
    <col min="1" max="1" width="35" customWidth="1"/>
  </cols>
  <sheetData>
    <row r="1" spans="1:6">
      <c r="A1" t="str">
        <f>"Regressions coefficients of psi_c on CZ effects from alternative specifications"</f>
        <v>Regressions coefficients of psi_c on CZ effects from alternative specifications</v>
      </c>
      <c r="B1" s="1"/>
      <c r="C1" s="1"/>
      <c r="D1" s="1"/>
      <c r="E1" s="1"/>
      <c r="F1" s="1"/>
    </row>
    <row r="2" spans="1:6">
      <c r="A2" t="s">
        <v>205</v>
      </c>
      <c r="B2" s="1"/>
      <c r="C2" s="1"/>
      <c r="D2" s="1"/>
      <c r="E2" s="1"/>
      <c r="F2" s="1"/>
    </row>
    <row r="3" spans="1:6">
      <c r="B3" s="1"/>
      <c r="C3" s="1"/>
      <c r="D3" s="1"/>
      <c r="E3" s="1"/>
      <c r="F3" s="1"/>
    </row>
    <row r="4" spans="1:6">
      <c r="B4" s="58" t="s">
        <v>41</v>
      </c>
      <c r="C4" s="59"/>
      <c r="D4" s="58" t="s">
        <v>563</v>
      </c>
      <c r="E4" s="58"/>
      <c r="F4" s="58"/>
    </row>
    <row r="5" spans="1:6">
      <c r="B5" s="1"/>
      <c r="C5" s="1"/>
      <c r="D5" s="58" t="s">
        <v>48</v>
      </c>
      <c r="E5" s="59"/>
      <c r="F5" s="59"/>
    </row>
    <row r="6" spans="1:6">
      <c r="A6" s="1" t="str">
        <f>""</f>
        <v/>
      </c>
      <c r="B6" s="1" t="str">
        <f>"(1)"</f>
        <v>(1)</v>
      </c>
      <c r="C6" s="1" t="str">
        <f>"(2)"</f>
        <v>(2)</v>
      </c>
      <c r="D6" s="1" t="str">
        <f>"(3)"</f>
        <v>(3)</v>
      </c>
      <c r="E6" s="1" t="str">
        <f>"(4)"</f>
        <v>(4)</v>
      </c>
      <c r="F6" s="1" t="str">
        <f>"(5)"</f>
        <v>(5)</v>
      </c>
    </row>
    <row r="7" spans="1:6">
      <c r="A7" s="1" t="str">
        <f>""</f>
        <v/>
      </c>
      <c r="B7" s="1" t="str">
        <f>"M1"</f>
        <v>M1</v>
      </c>
      <c r="C7" s="1" t="str">
        <f>"M2"</f>
        <v>M2</v>
      </c>
      <c r="D7" s="4" t="s">
        <v>73</v>
      </c>
      <c r="E7" s="4" t="s">
        <v>74</v>
      </c>
      <c r="F7" s="4" t="s">
        <v>75</v>
      </c>
    </row>
    <row r="8" spans="1:6">
      <c r="A8" s="10"/>
      <c r="B8" s="1"/>
      <c r="C8" s="1"/>
      <c r="D8" s="1"/>
      <c r="E8" s="1"/>
      <c r="F8" s="1"/>
    </row>
    <row r="9" spans="1:6">
      <c r="A9" s="50" t="s">
        <v>583</v>
      </c>
      <c r="B9" s="4" t="s">
        <v>564</v>
      </c>
      <c r="C9" s="4" t="s">
        <v>565</v>
      </c>
      <c r="D9" s="4" t="s">
        <v>566</v>
      </c>
      <c r="E9" s="4" t="s">
        <v>567</v>
      </c>
      <c r="F9" s="4" t="s">
        <v>568</v>
      </c>
    </row>
    <row r="10" spans="1:6">
      <c r="A10" s="10" t="str">
        <f>""</f>
        <v/>
      </c>
      <c r="B10" s="4" t="s">
        <v>569</v>
      </c>
      <c r="C10" s="4" t="s">
        <v>570</v>
      </c>
      <c r="D10" s="4" t="s">
        <v>571</v>
      </c>
      <c r="E10" s="4" t="s">
        <v>572</v>
      </c>
      <c r="F10" s="4" t="s">
        <v>573</v>
      </c>
    </row>
    <row r="11" spans="1:6">
      <c r="A11" s="10"/>
      <c r="B11" s="7"/>
      <c r="C11" s="7"/>
      <c r="D11" s="7"/>
      <c r="E11" s="7"/>
      <c r="F11" s="7"/>
    </row>
    <row r="12" spans="1:6">
      <c r="A12" s="2" t="s">
        <v>60</v>
      </c>
      <c r="B12" s="59">
        <f>2523000000</f>
        <v>2523000000</v>
      </c>
      <c r="C12" s="59"/>
      <c r="D12" s="59"/>
      <c r="E12" s="59"/>
      <c r="F12" s="59"/>
    </row>
    <row r="13" spans="1:6">
      <c r="A13" s="10" t="str">
        <f>"Number of  CZs"</f>
        <v>Number of  CZs</v>
      </c>
      <c r="B13" s="58">
        <v>700</v>
      </c>
      <c r="C13" s="58"/>
      <c r="D13" s="58"/>
      <c r="E13" s="58"/>
      <c r="F13" s="58"/>
    </row>
    <row r="14" spans="1:6">
      <c r="A14" s="50" t="s">
        <v>578</v>
      </c>
      <c r="B14" s="4" t="s">
        <v>575</v>
      </c>
      <c r="C14" s="4" t="s">
        <v>574</v>
      </c>
      <c r="D14" s="4" t="s">
        <v>576</v>
      </c>
      <c r="E14" s="4" t="s">
        <v>577</v>
      </c>
      <c r="F14" s="4" t="s">
        <v>576</v>
      </c>
    </row>
    <row r="15" spans="1:6">
      <c r="A15" s="10" t="s">
        <v>67</v>
      </c>
      <c r="B15" s="4" t="s">
        <v>521</v>
      </c>
      <c r="C15" s="4" t="s">
        <v>579</v>
      </c>
      <c r="D15" s="4" t="s">
        <v>580</v>
      </c>
      <c r="E15" s="4" t="s">
        <v>581</v>
      </c>
      <c r="F15" s="4" t="s">
        <v>582</v>
      </c>
    </row>
    <row r="16" spans="1:6">
      <c r="B16" s="1"/>
      <c r="C16" s="1"/>
      <c r="D16" s="1"/>
      <c r="E16" s="1"/>
      <c r="F16" s="1"/>
    </row>
    <row r="17" spans="1:6">
      <c r="A17" s="17" t="s">
        <v>585</v>
      </c>
      <c r="B17" s="1"/>
      <c r="C17" s="1"/>
      <c r="D17" s="1"/>
      <c r="E17" s="1"/>
      <c r="F17" s="1"/>
    </row>
    <row r="18" spans="1:6">
      <c r="A18" s="16" t="s">
        <v>584</v>
      </c>
    </row>
    <row r="19" spans="1:6">
      <c r="A19" s="16" t="s">
        <v>68</v>
      </c>
    </row>
    <row r="20" spans="1:6">
      <c r="A20" s="16" t="s">
        <v>69</v>
      </c>
    </row>
    <row r="21" spans="1:6">
      <c r="A21" s="16" t="s">
        <v>70</v>
      </c>
    </row>
    <row r="22" spans="1:6">
      <c r="A22" s="16" t="s">
        <v>71</v>
      </c>
    </row>
    <row r="23" spans="1:6">
      <c r="A23" s="16" t="s">
        <v>72</v>
      </c>
    </row>
  </sheetData>
  <mergeCells count="5">
    <mergeCell ref="B13:F13"/>
    <mergeCell ref="B4:C4"/>
    <mergeCell ref="D5:F5"/>
    <mergeCell ref="D4:F4"/>
    <mergeCell ref="B12:F12"/>
  </mergeCells>
  <phoneticPr fontId="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3"/>
  <sheetViews>
    <sheetView zoomScale="70" zoomScaleNormal="70" workbookViewId="0"/>
  </sheetViews>
  <sheetFormatPr baseColWidth="10" defaultColWidth="8.83203125" defaultRowHeight="15"/>
  <cols>
    <col min="1" max="1" width="29.6640625" bestFit="1" customWidth="1"/>
    <col min="2" max="3" width="13.83203125" style="1" customWidth="1"/>
    <col min="4" max="4" width="13.83203125" customWidth="1"/>
  </cols>
  <sheetData>
    <row r="1" spans="1:4">
      <c r="A1" s="16" t="s">
        <v>180</v>
      </c>
      <c r="D1" s="9"/>
    </row>
    <row r="3" spans="1:4">
      <c r="A3" s="2" t="s">
        <v>76</v>
      </c>
      <c r="B3" s="4" t="s">
        <v>77</v>
      </c>
      <c r="C3" s="4" t="s">
        <v>78</v>
      </c>
      <c r="D3" s="2" t="s">
        <v>79</v>
      </c>
    </row>
    <row r="4" spans="1:4">
      <c r="A4" s="2" t="s">
        <v>80</v>
      </c>
      <c r="B4" s="4">
        <v>1</v>
      </c>
      <c r="C4" s="4">
        <v>1</v>
      </c>
      <c r="D4" s="2">
        <v>1.6289999999999999E-2</v>
      </c>
    </row>
    <row r="5" spans="1:4">
      <c r="A5" s="2" t="s">
        <v>81</v>
      </c>
      <c r="B5" s="4">
        <v>1</v>
      </c>
      <c r="C5" s="4">
        <v>2</v>
      </c>
      <c r="D5" s="2">
        <v>4.0730000000000002E-3</v>
      </c>
    </row>
    <row r="6" spans="1:4">
      <c r="A6" s="2" t="s">
        <v>82</v>
      </c>
      <c r="B6" s="4">
        <v>1</v>
      </c>
      <c r="C6" s="4">
        <v>3</v>
      </c>
      <c r="D6" s="2">
        <v>2.419E-4</v>
      </c>
    </row>
    <row r="7" spans="1:4">
      <c r="A7" s="2" t="s">
        <v>83</v>
      </c>
      <c r="B7" s="4">
        <v>1</v>
      </c>
      <c r="C7" s="4">
        <v>4</v>
      </c>
      <c r="D7" s="2">
        <v>-2.0920000000000001E-3</v>
      </c>
    </row>
    <row r="8" spans="1:4">
      <c r="A8" s="2" t="s">
        <v>84</v>
      </c>
      <c r="B8" s="4">
        <v>1</v>
      </c>
      <c r="C8" s="4">
        <v>5</v>
      </c>
      <c r="D8" s="2">
        <v>-3.1830000000000001E-3</v>
      </c>
    </row>
    <row r="9" spans="1:4">
      <c r="A9" s="2" t="s">
        <v>85</v>
      </c>
      <c r="B9" s="4">
        <v>1</v>
      </c>
      <c r="C9" s="4">
        <v>6</v>
      </c>
      <c r="D9" s="2">
        <v>-4.1619999999999999E-3</v>
      </c>
    </row>
    <row r="10" spans="1:4">
      <c r="A10" s="2" t="s">
        <v>86</v>
      </c>
      <c r="B10" s="4">
        <v>1</v>
      </c>
      <c r="C10" s="4">
        <v>7</v>
      </c>
      <c r="D10" s="2">
        <v>-4.7980000000000002E-3</v>
      </c>
    </row>
    <row r="11" spans="1:4">
      <c r="A11" s="2" t="s">
        <v>87</v>
      </c>
      <c r="B11" s="4">
        <v>1</v>
      </c>
      <c r="C11" s="4">
        <v>8</v>
      </c>
      <c r="D11" s="2">
        <v>-5.646E-3</v>
      </c>
    </row>
    <row r="12" spans="1:4">
      <c r="A12" s="2" t="s">
        <v>88</v>
      </c>
      <c r="B12" s="4">
        <v>1</v>
      </c>
      <c r="C12" s="4">
        <v>9</v>
      </c>
      <c r="D12" s="2">
        <v>-6.7320000000000001E-3</v>
      </c>
    </row>
    <row r="13" spans="1:4">
      <c r="A13" s="2" t="s">
        <v>89</v>
      </c>
      <c r="B13" s="4">
        <v>1</v>
      </c>
      <c r="C13" s="4">
        <v>10</v>
      </c>
      <c r="D13" s="2">
        <v>-9.0790000000000003E-3</v>
      </c>
    </row>
    <row r="14" spans="1:4">
      <c r="A14" s="2" t="s">
        <v>90</v>
      </c>
      <c r="B14" s="4">
        <v>2</v>
      </c>
      <c r="C14" s="4">
        <v>1</v>
      </c>
      <c r="D14" s="2">
        <v>6.3489999999999996E-3</v>
      </c>
    </row>
    <row r="15" spans="1:4">
      <c r="A15" s="2" t="s">
        <v>91</v>
      </c>
      <c r="B15" s="4">
        <v>2</v>
      </c>
      <c r="C15" s="4">
        <v>2</v>
      </c>
      <c r="D15" s="2">
        <v>-1.147E-4</v>
      </c>
    </row>
    <row r="16" spans="1:4">
      <c r="A16" s="2" t="s">
        <v>92</v>
      </c>
      <c r="B16" s="4">
        <v>2</v>
      </c>
      <c r="C16" s="4">
        <v>3</v>
      </c>
      <c r="D16" s="2">
        <v>-9.6139999999999995E-4</v>
      </c>
    </row>
    <row r="17" spans="1:4">
      <c r="A17" s="2" t="s">
        <v>93</v>
      </c>
      <c r="B17" s="4">
        <v>2</v>
      </c>
      <c r="C17" s="4">
        <v>4</v>
      </c>
      <c r="D17" s="2">
        <v>-1.4170000000000001E-3</v>
      </c>
    </row>
    <row r="18" spans="1:4">
      <c r="A18" s="2" t="s">
        <v>94</v>
      </c>
      <c r="B18" s="4">
        <v>2</v>
      </c>
      <c r="C18" s="4">
        <v>5</v>
      </c>
      <c r="D18" s="2">
        <v>-1.4959999999999999E-3</v>
      </c>
    </row>
    <row r="19" spans="1:4">
      <c r="A19" s="2" t="s">
        <v>95</v>
      </c>
      <c r="B19" s="4">
        <v>2</v>
      </c>
      <c r="C19" s="4">
        <v>6</v>
      </c>
      <c r="D19" s="2">
        <v>-1.4139999999999999E-3</v>
      </c>
    </row>
    <row r="20" spans="1:4">
      <c r="A20" s="2" t="s">
        <v>96</v>
      </c>
      <c r="B20" s="4">
        <v>2</v>
      </c>
      <c r="C20" s="4">
        <v>7</v>
      </c>
      <c r="D20" s="2">
        <v>-1.3259999999999999E-3</v>
      </c>
    </row>
    <row r="21" spans="1:4">
      <c r="A21" s="2" t="s">
        <v>97</v>
      </c>
      <c r="B21" s="4">
        <v>2</v>
      </c>
      <c r="C21" s="4">
        <v>8</v>
      </c>
      <c r="D21" s="2">
        <v>-1.121E-3</v>
      </c>
    </row>
    <row r="22" spans="1:4">
      <c r="A22" s="2" t="s">
        <v>98</v>
      </c>
      <c r="B22" s="4">
        <v>2</v>
      </c>
      <c r="C22" s="4">
        <v>9</v>
      </c>
      <c r="D22" s="2">
        <v>-6.0090000000000002E-4</v>
      </c>
    </row>
    <row r="23" spans="1:4">
      <c r="A23" s="2" t="s">
        <v>99</v>
      </c>
      <c r="B23" s="4">
        <v>2</v>
      </c>
      <c r="C23" s="4">
        <v>10</v>
      </c>
      <c r="D23" s="2">
        <v>-7.7320000000000004E-4</v>
      </c>
    </row>
    <row r="24" spans="1:4">
      <c r="A24" s="2" t="s">
        <v>100</v>
      </c>
      <c r="B24" s="4">
        <v>3</v>
      </c>
      <c r="C24" s="4">
        <v>1</v>
      </c>
      <c r="D24" s="2">
        <v>1.359E-3</v>
      </c>
    </row>
    <row r="25" spans="1:4">
      <c r="A25" s="2" t="s">
        <v>101</v>
      </c>
      <c r="B25" s="4">
        <v>3</v>
      </c>
      <c r="C25" s="4">
        <v>2</v>
      </c>
      <c r="D25" s="2">
        <v>-1.3370000000000001E-3</v>
      </c>
    </row>
    <row r="26" spans="1:4">
      <c r="A26" s="2" t="s">
        <v>102</v>
      </c>
      <c r="B26" s="4">
        <v>3</v>
      </c>
      <c r="C26" s="4">
        <v>3</v>
      </c>
      <c r="D26" s="2">
        <v>-5.4719999999999997E-4</v>
      </c>
    </row>
    <row r="27" spans="1:4">
      <c r="A27" s="2" t="s">
        <v>103</v>
      </c>
      <c r="B27" s="4">
        <v>3</v>
      </c>
      <c r="C27" s="4">
        <v>4</v>
      </c>
      <c r="D27" s="2">
        <v>-4.1070000000000001E-4</v>
      </c>
    </row>
    <row r="28" spans="1:4">
      <c r="A28" s="2" t="s">
        <v>104</v>
      </c>
      <c r="B28" s="4">
        <v>3</v>
      </c>
      <c r="C28" s="4">
        <v>5</v>
      </c>
      <c r="D28" s="2">
        <v>-5.3470000000000004E-4</v>
      </c>
    </row>
    <row r="29" spans="1:4">
      <c r="A29" s="2" t="s">
        <v>105</v>
      </c>
      <c r="B29" s="4">
        <v>3</v>
      </c>
      <c r="C29" s="4">
        <v>6</v>
      </c>
      <c r="D29" s="2">
        <v>-3.6190000000000001E-4</v>
      </c>
    </row>
    <row r="30" spans="1:4">
      <c r="A30" s="2" t="s">
        <v>106</v>
      </c>
      <c r="B30" s="4">
        <v>3</v>
      </c>
      <c r="C30" s="4">
        <v>7</v>
      </c>
      <c r="D30" s="2">
        <v>-1.7330000000000001E-4</v>
      </c>
    </row>
    <row r="31" spans="1:4">
      <c r="A31" s="2" t="s">
        <v>107</v>
      </c>
      <c r="B31" s="4">
        <v>3</v>
      </c>
      <c r="C31" s="4">
        <v>8</v>
      </c>
      <c r="D31" s="2">
        <v>1.2120000000000001E-4</v>
      </c>
    </row>
    <row r="32" spans="1:4">
      <c r="A32" s="2" t="s">
        <v>108</v>
      </c>
      <c r="B32" s="4">
        <v>3</v>
      </c>
      <c r="C32" s="4">
        <v>9</v>
      </c>
      <c r="D32" s="2">
        <v>1.034E-3</v>
      </c>
    </row>
    <row r="33" spans="1:4">
      <c r="A33" s="2" t="s">
        <v>109</v>
      </c>
      <c r="B33" s="4">
        <v>3</v>
      </c>
      <c r="C33" s="4">
        <v>10</v>
      </c>
      <c r="D33" s="2">
        <v>2.1559999999999999E-3</v>
      </c>
    </row>
    <row r="34" spans="1:4">
      <c r="A34" s="2" t="s">
        <v>110</v>
      </c>
      <c r="B34" s="4">
        <v>4</v>
      </c>
      <c r="C34" s="4">
        <v>1</v>
      </c>
      <c r="D34" s="2">
        <v>-2.1069999999999999E-3</v>
      </c>
    </row>
    <row r="35" spans="1:4">
      <c r="A35" s="2" t="s">
        <v>111</v>
      </c>
      <c r="B35" s="4">
        <v>4</v>
      </c>
      <c r="C35" s="4">
        <v>2</v>
      </c>
      <c r="D35" s="2">
        <v>-1.4679999999999999E-3</v>
      </c>
    </row>
    <row r="36" spans="1:4">
      <c r="A36" s="2" t="s">
        <v>112</v>
      </c>
      <c r="B36" s="4">
        <v>4</v>
      </c>
      <c r="C36" s="4">
        <v>3</v>
      </c>
      <c r="D36" s="2">
        <v>-1.393E-4</v>
      </c>
    </row>
    <row r="37" spans="1:4">
      <c r="A37" s="2" t="s">
        <v>113</v>
      </c>
      <c r="B37" s="4">
        <v>4</v>
      </c>
      <c r="C37" s="4">
        <v>4</v>
      </c>
      <c r="D37" s="2">
        <v>2.22E-4</v>
      </c>
    </row>
    <row r="38" spans="1:4">
      <c r="A38" s="2" t="s">
        <v>114</v>
      </c>
      <c r="B38" s="4">
        <v>4</v>
      </c>
      <c r="C38" s="4">
        <v>5</v>
      </c>
      <c r="D38" s="2">
        <v>1.204E-4</v>
      </c>
    </row>
    <row r="39" spans="1:4">
      <c r="A39" s="2" t="s">
        <v>115</v>
      </c>
      <c r="B39" s="4">
        <v>4</v>
      </c>
      <c r="C39" s="4">
        <v>6</v>
      </c>
      <c r="D39" s="2">
        <v>1.495E-4</v>
      </c>
    </row>
    <row r="40" spans="1:4">
      <c r="A40" s="2" t="s">
        <v>116</v>
      </c>
      <c r="B40" s="4">
        <v>4</v>
      </c>
      <c r="C40" s="4">
        <v>7</v>
      </c>
      <c r="D40" s="2">
        <v>1.183E-4</v>
      </c>
    </row>
    <row r="41" spans="1:4">
      <c r="A41" s="2" t="s">
        <v>117</v>
      </c>
      <c r="B41" s="4">
        <v>4</v>
      </c>
      <c r="C41" s="4">
        <v>8</v>
      </c>
      <c r="D41" s="2">
        <v>3.6489999999999998E-4</v>
      </c>
    </row>
    <row r="42" spans="1:4">
      <c r="A42" s="2" t="s">
        <v>118</v>
      </c>
      <c r="B42" s="4">
        <v>4</v>
      </c>
      <c r="C42" s="4">
        <v>9</v>
      </c>
      <c r="D42" s="2">
        <v>1.4270000000000001E-3</v>
      </c>
    </row>
    <row r="43" spans="1:4">
      <c r="A43" s="2" t="s">
        <v>119</v>
      </c>
      <c r="B43" s="4">
        <v>4</v>
      </c>
      <c r="C43" s="4">
        <v>10</v>
      </c>
      <c r="D43" s="2">
        <v>2.6480000000000002E-3</v>
      </c>
    </row>
    <row r="44" spans="1:4">
      <c r="A44" s="2" t="s">
        <v>120</v>
      </c>
      <c r="B44" s="4">
        <v>5</v>
      </c>
      <c r="C44" s="4">
        <v>1</v>
      </c>
      <c r="D44" s="2">
        <v>-4.0810000000000004E-3</v>
      </c>
    </row>
    <row r="45" spans="1:4">
      <c r="A45" s="2" t="s">
        <v>121</v>
      </c>
      <c r="B45" s="4">
        <v>5</v>
      </c>
      <c r="C45" s="4">
        <v>2</v>
      </c>
      <c r="D45" s="2">
        <v>-1.2800000000000001E-3</v>
      </c>
    </row>
    <row r="46" spans="1:4">
      <c r="A46" s="2" t="s">
        <v>122</v>
      </c>
      <c r="B46" s="4">
        <v>5</v>
      </c>
      <c r="C46" s="4">
        <v>3</v>
      </c>
      <c r="D46" s="2">
        <v>1.2010000000000001E-4</v>
      </c>
    </row>
    <row r="47" spans="1:4">
      <c r="A47" s="2" t="s">
        <v>123</v>
      </c>
      <c r="B47" s="4">
        <v>5</v>
      </c>
      <c r="C47" s="4">
        <v>4</v>
      </c>
      <c r="D47" s="2">
        <v>6.7290000000000004E-4</v>
      </c>
    </row>
    <row r="48" spans="1:4">
      <c r="A48" s="2" t="s">
        <v>124</v>
      </c>
      <c r="B48" s="4">
        <v>5</v>
      </c>
      <c r="C48" s="4">
        <v>5</v>
      </c>
      <c r="D48" s="2">
        <v>3.6450000000000002E-4</v>
      </c>
    </row>
    <row r="49" spans="1:4">
      <c r="A49" s="2" t="s">
        <v>125</v>
      </c>
      <c r="B49" s="4">
        <v>5</v>
      </c>
      <c r="C49" s="4">
        <v>6</v>
      </c>
      <c r="D49" s="2">
        <v>3.166E-4</v>
      </c>
    </row>
    <row r="50" spans="1:4">
      <c r="A50" s="2" t="s">
        <v>126</v>
      </c>
      <c r="B50" s="4">
        <v>5</v>
      </c>
      <c r="C50" s="4">
        <v>7</v>
      </c>
      <c r="D50" s="2">
        <v>1.9230000000000001E-4</v>
      </c>
    </row>
    <row r="51" spans="1:4">
      <c r="A51" s="2" t="s">
        <v>127</v>
      </c>
      <c r="B51" s="4">
        <v>5</v>
      </c>
      <c r="C51" s="4">
        <v>8</v>
      </c>
      <c r="D51" s="2">
        <v>2.7460000000000001E-4</v>
      </c>
    </row>
    <row r="52" spans="1:4">
      <c r="A52" s="2" t="s">
        <v>128</v>
      </c>
      <c r="B52" s="4">
        <v>5</v>
      </c>
      <c r="C52" s="4">
        <v>9</v>
      </c>
      <c r="D52" s="2">
        <v>1.2639999999999999E-3</v>
      </c>
    </row>
    <row r="53" spans="1:4">
      <c r="A53" s="2" t="s">
        <v>129</v>
      </c>
      <c r="B53" s="4">
        <v>5</v>
      </c>
      <c r="C53" s="4">
        <v>10</v>
      </c>
      <c r="D53" s="2">
        <v>2.647E-3</v>
      </c>
    </row>
    <row r="54" spans="1:4">
      <c r="A54" s="2" t="s">
        <v>130</v>
      </c>
      <c r="B54" s="4">
        <v>6</v>
      </c>
      <c r="C54" s="4">
        <v>1</v>
      </c>
      <c r="D54" s="2">
        <v>-4.8539999999999998E-3</v>
      </c>
    </row>
    <row r="55" spans="1:4">
      <c r="A55" s="2" t="s">
        <v>131</v>
      </c>
      <c r="B55" s="4">
        <v>6</v>
      </c>
      <c r="C55" s="4">
        <v>2</v>
      </c>
      <c r="D55" s="2">
        <v>-8.1130000000000004E-4</v>
      </c>
    </row>
    <row r="56" spans="1:4">
      <c r="A56" s="2" t="s">
        <v>132</v>
      </c>
      <c r="B56" s="4">
        <v>6</v>
      </c>
      <c r="C56" s="4">
        <v>3</v>
      </c>
      <c r="D56" s="2">
        <v>1.328E-4</v>
      </c>
    </row>
    <row r="57" spans="1:4">
      <c r="A57" s="2" t="s">
        <v>133</v>
      </c>
      <c r="B57" s="4">
        <v>6</v>
      </c>
      <c r="C57" s="4">
        <v>4</v>
      </c>
      <c r="D57" s="2">
        <v>7.4390000000000003E-4</v>
      </c>
    </row>
    <row r="58" spans="1:4">
      <c r="A58" s="2" t="s">
        <v>134</v>
      </c>
      <c r="B58" s="4">
        <v>6</v>
      </c>
      <c r="C58" s="4">
        <v>5</v>
      </c>
      <c r="D58" s="2">
        <v>4.4030000000000002E-4</v>
      </c>
    </row>
    <row r="59" spans="1:4">
      <c r="A59" s="2" t="s">
        <v>135</v>
      </c>
      <c r="B59" s="4">
        <v>6</v>
      </c>
      <c r="C59" s="4">
        <v>6</v>
      </c>
      <c r="D59" s="2">
        <v>4.7649999999999998E-4</v>
      </c>
    </row>
    <row r="60" spans="1:4">
      <c r="A60" s="2" t="s">
        <v>136</v>
      </c>
      <c r="B60" s="4">
        <v>6</v>
      </c>
      <c r="C60" s="4">
        <v>7</v>
      </c>
      <c r="D60" s="2">
        <v>4.416E-4</v>
      </c>
    </row>
    <row r="61" spans="1:4">
      <c r="A61" s="2" t="s">
        <v>137</v>
      </c>
      <c r="B61" s="4">
        <v>6</v>
      </c>
      <c r="C61" s="4">
        <v>8</v>
      </c>
      <c r="D61" s="2">
        <v>4.9679999999999999E-5</v>
      </c>
    </row>
    <row r="62" spans="1:4">
      <c r="A62" s="2" t="s">
        <v>138</v>
      </c>
      <c r="B62" s="4">
        <v>6</v>
      </c>
      <c r="C62" s="4">
        <v>9</v>
      </c>
      <c r="D62" s="2">
        <v>8.7730000000000002E-4</v>
      </c>
    </row>
    <row r="63" spans="1:4">
      <c r="A63" s="2" t="s">
        <v>139</v>
      </c>
      <c r="B63" s="4">
        <v>6</v>
      </c>
      <c r="C63" s="4">
        <v>10</v>
      </c>
      <c r="D63" s="2">
        <v>2.0479999999999999E-3</v>
      </c>
    </row>
    <row r="64" spans="1:4">
      <c r="A64" s="2" t="s">
        <v>140</v>
      </c>
      <c r="B64" s="4">
        <v>7</v>
      </c>
      <c r="C64" s="4">
        <v>1</v>
      </c>
      <c r="D64" s="2">
        <v>-4.7010000000000003E-3</v>
      </c>
    </row>
    <row r="65" spans="1:4">
      <c r="A65" s="2" t="s">
        <v>141</v>
      </c>
      <c r="B65" s="4">
        <v>7</v>
      </c>
      <c r="C65" s="4">
        <v>2</v>
      </c>
      <c r="D65" s="2">
        <v>-3.5159999999999998E-4</v>
      </c>
    </row>
    <row r="66" spans="1:4">
      <c r="A66" s="2" t="s">
        <v>142</v>
      </c>
      <c r="B66" s="4">
        <v>7</v>
      </c>
      <c r="C66" s="4">
        <v>3</v>
      </c>
      <c r="D66" s="2">
        <v>4.0840000000000001E-4</v>
      </c>
    </row>
    <row r="67" spans="1:4">
      <c r="A67" s="2" t="s">
        <v>143</v>
      </c>
      <c r="B67" s="4">
        <v>7</v>
      </c>
      <c r="C67" s="4">
        <v>4</v>
      </c>
      <c r="D67" s="2">
        <v>7.5319999999999998E-4</v>
      </c>
    </row>
    <row r="68" spans="1:4">
      <c r="A68" s="2" t="s">
        <v>144</v>
      </c>
      <c r="B68" s="4">
        <v>7</v>
      </c>
      <c r="C68" s="4">
        <v>5</v>
      </c>
      <c r="D68" s="2">
        <v>5.063E-4</v>
      </c>
    </row>
    <row r="69" spans="1:4">
      <c r="A69" s="2" t="s">
        <v>145</v>
      </c>
      <c r="B69" s="4">
        <v>7</v>
      </c>
      <c r="C69" s="4">
        <v>6</v>
      </c>
      <c r="D69" s="2">
        <v>5.9389999999999996E-4</v>
      </c>
    </row>
    <row r="70" spans="1:4">
      <c r="A70" s="2" t="s">
        <v>146</v>
      </c>
      <c r="B70" s="4">
        <v>7</v>
      </c>
      <c r="C70" s="4">
        <v>7</v>
      </c>
      <c r="D70" s="2">
        <v>4.4349999999999999E-4</v>
      </c>
    </row>
    <row r="71" spans="1:4">
      <c r="A71" s="2" t="s">
        <v>147</v>
      </c>
      <c r="B71" s="4">
        <v>7</v>
      </c>
      <c r="C71" s="4">
        <v>8</v>
      </c>
      <c r="D71" s="2">
        <v>4.6780000000000003E-5</v>
      </c>
    </row>
    <row r="72" spans="1:4">
      <c r="A72" s="2" t="s">
        <v>148</v>
      </c>
      <c r="B72" s="4">
        <v>7</v>
      </c>
      <c r="C72" s="4">
        <v>9</v>
      </c>
      <c r="D72" s="2">
        <v>2.2259999999999999E-4</v>
      </c>
    </row>
    <row r="73" spans="1:4">
      <c r="A73" s="2" t="s">
        <v>149</v>
      </c>
      <c r="B73" s="4">
        <v>7</v>
      </c>
      <c r="C73" s="4">
        <v>10</v>
      </c>
      <c r="D73" s="2">
        <v>1.1100000000000001E-3</v>
      </c>
    </row>
    <row r="74" spans="1:4">
      <c r="A74" s="2" t="s">
        <v>150</v>
      </c>
      <c r="B74" s="4">
        <v>8</v>
      </c>
      <c r="C74" s="4">
        <v>1</v>
      </c>
      <c r="D74" s="2">
        <v>-4.6550000000000003E-3</v>
      </c>
    </row>
    <row r="75" spans="1:4">
      <c r="A75" s="2" t="s">
        <v>151</v>
      </c>
      <c r="B75" s="4">
        <v>8</v>
      </c>
      <c r="C75" s="4">
        <v>2</v>
      </c>
      <c r="D75" s="24">
        <v>3.8620000000000001E-4</v>
      </c>
    </row>
    <row r="76" spans="1:4">
      <c r="A76" s="2" t="s">
        <v>152</v>
      </c>
      <c r="B76" s="4">
        <v>8</v>
      </c>
      <c r="C76" s="4">
        <v>3</v>
      </c>
      <c r="D76" s="2">
        <v>8.2399999999999997E-4</v>
      </c>
    </row>
    <row r="77" spans="1:4">
      <c r="A77" s="2" t="s">
        <v>153</v>
      </c>
      <c r="B77" s="4">
        <v>8</v>
      </c>
      <c r="C77" s="4">
        <v>4</v>
      </c>
      <c r="D77" s="2">
        <v>8.4009999999999998E-4</v>
      </c>
    </row>
    <row r="78" spans="1:4">
      <c r="A78" s="2" t="s">
        <v>154</v>
      </c>
      <c r="B78" s="4">
        <v>8</v>
      </c>
      <c r="C78" s="4">
        <v>5</v>
      </c>
      <c r="D78" s="2">
        <v>9.0229999999999998E-4</v>
      </c>
    </row>
    <row r="79" spans="1:4">
      <c r="A79" s="2" t="s">
        <v>155</v>
      </c>
      <c r="B79" s="4">
        <v>8</v>
      </c>
      <c r="C79" s="4">
        <v>6</v>
      </c>
      <c r="D79" s="2">
        <v>8.25E-4</v>
      </c>
    </row>
    <row r="80" spans="1:4">
      <c r="A80" s="2" t="s">
        <v>156</v>
      </c>
      <c r="B80" s="4">
        <v>8</v>
      </c>
      <c r="C80" s="4">
        <v>7</v>
      </c>
      <c r="D80" s="2">
        <v>6.6909999999999995E-4</v>
      </c>
    </row>
    <row r="81" spans="1:4">
      <c r="A81" s="2" t="s">
        <v>157</v>
      </c>
      <c r="B81" s="4">
        <v>8</v>
      </c>
      <c r="C81" s="4">
        <v>8</v>
      </c>
      <c r="D81" s="2">
        <v>-2.8690000000000001E-5</v>
      </c>
    </row>
    <row r="82" spans="1:4">
      <c r="A82" s="2" t="s">
        <v>158</v>
      </c>
      <c r="B82" s="4">
        <v>8</v>
      </c>
      <c r="C82" s="4">
        <v>9</v>
      </c>
      <c r="D82" s="2">
        <v>-4.2309999999999998E-4</v>
      </c>
    </row>
    <row r="83" spans="1:4">
      <c r="A83" s="2" t="s">
        <v>159</v>
      </c>
      <c r="B83" s="4">
        <v>8</v>
      </c>
      <c r="C83" s="4">
        <v>10</v>
      </c>
      <c r="D83" s="2">
        <v>3.3300000000000003E-5</v>
      </c>
    </row>
    <row r="84" spans="1:4">
      <c r="A84" s="2" t="s">
        <v>160</v>
      </c>
      <c r="B84" s="4">
        <v>9</v>
      </c>
      <c r="C84" s="4">
        <v>1</v>
      </c>
      <c r="D84" s="2">
        <v>-4.7790000000000003E-3</v>
      </c>
    </row>
    <row r="85" spans="1:4">
      <c r="A85" s="2" t="s">
        <v>161</v>
      </c>
      <c r="B85" s="4">
        <v>9</v>
      </c>
      <c r="C85" s="4">
        <v>2</v>
      </c>
      <c r="D85" s="2">
        <v>3.279E-4</v>
      </c>
    </row>
    <row r="86" spans="1:4">
      <c r="A86" s="2" t="s">
        <v>162</v>
      </c>
      <c r="B86" s="4">
        <v>9</v>
      </c>
      <c r="C86" s="4">
        <v>3</v>
      </c>
      <c r="D86" s="2">
        <v>9.1690000000000001E-4</v>
      </c>
    </row>
    <row r="87" spans="1:4">
      <c r="A87" s="2" t="s">
        <v>163</v>
      </c>
      <c r="B87" s="4">
        <v>9</v>
      </c>
      <c r="C87" s="4">
        <v>4</v>
      </c>
      <c r="D87" s="2">
        <v>1.1230000000000001E-3</v>
      </c>
    </row>
    <row r="88" spans="1:4">
      <c r="A88" s="2" t="s">
        <v>164</v>
      </c>
      <c r="B88" s="4">
        <v>9</v>
      </c>
      <c r="C88" s="4">
        <v>5</v>
      </c>
      <c r="D88" s="2">
        <v>1.5950000000000001E-3</v>
      </c>
    </row>
    <row r="89" spans="1:4">
      <c r="A89" s="2" t="s">
        <v>165</v>
      </c>
      <c r="B89" s="4">
        <v>9</v>
      </c>
      <c r="C89" s="4">
        <v>6</v>
      </c>
      <c r="D89" s="2">
        <v>1.2880000000000001E-3</v>
      </c>
    </row>
    <row r="90" spans="1:4">
      <c r="A90" s="2" t="s">
        <v>166</v>
      </c>
      <c r="B90" s="4">
        <v>9</v>
      </c>
      <c r="C90" s="4">
        <v>7</v>
      </c>
      <c r="D90" s="2">
        <v>1.0449999999999999E-3</v>
      </c>
    </row>
    <row r="91" spans="1:4">
      <c r="A91" s="2" t="s">
        <v>167</v>
      </c>
      <c r="B91" s="4">
        <v>9</v>
      </c>
      <c r="C91" s="4">
        <v>8</v>
      </c>
      <c r="D91" s="2">
        <v>6.6310000000000002E-4</v>
      </c>
    </row>
    <row r="92" spans="1:4">
      <c r="A92" s="2" t="s">
        <v>168</v>
      </c>
      <c r="B92" s="4">
        <v>9</v>
      </c>
      <c r="C92" s="4">
        <v>9</v>
      </c>
      <c r="D92" s="2">
        <v>-6.3730000000000004E-4</v>
      </c>
    </row>
    <row r="93" spans="1:4">
      <c r="A93" s="2" t="s">
        <v>169</v>
      </c>
      <c r="B93" s="4">
        <v>9</v>
      </c>
      <c r="C93" s="4">
        <v>10</v>
      </c>
      <c r="D93" s="2">
        <v>-1.2329999999999999E-3</v>
      </c>
    </row>
    <row r="94" spans="1:4">
      <c r="A94" s="2" t="s">
        <v>170</v>
      </c>
      <c r="B94" s="4">
        <v>10</v>
      </c>
      <c r="C94" s="4">
        <v>1</v>
      </c>
      <c r="D94" s="2">
        <v>-1.0120000000000001E-2</v>
      </c>
    </row>
    <row r="95" spans="1:4">
      <c r="A95" s="2" t="s">
        <v>171</v>
      </c>
      <c r="B95" s="4">
        <v>10</v>
      </c>
      <c r="C95" s="4">
        <v>2</v>
      </c>
      <c r="D95" s="2">
        <v>-1.766E-3</v>
      </c>
    </row>
    <row r="96" spans="1:4">
      <c r="A96" s="2" t="s">
        <v>172</v>
      </c>
      <c r="B96" s="4">
        <v>10</v>
      </c>
      <c r="C96" s="4">
        <v>3</v>
      </c>
      <c r="D96" s="2">
        <v>-6.9919999999999997E-4</v>
      </c>
    </row>
    <row r="97" spans="1:4">
      <c r="A97" s="2" t="s">
        <v>173</v>
      </c>
      <c r="B97" s="4">
        <v>10</v>
      </c>
      <c r="C97" s="4">
        <v>4</v>
      </c>
      <c r="D97" s="2">
        <v>9.9369999999999992E-4</v>
      </c>
    </row>
    <row r="98" spans="1:4">
      <c r="A98" s="2" t="s">
        <v>174</v>
      </c>
      <c r="B98" s="4">
        <v>10</v>
      </c>
      <c r="C98" s="4">
        <v>5</v>
      </c>
      <c r="D98" s="2">
        <v>2.8389999999999999E-3</v>
      </c>
    </row>
    <row r="99" spans="1:4">
      <c r="A99" s="2" t="s">
        <v>175</v>
      </c>
      <c r="B99" s="4">
        <v>10</v>
      </c>
      <c r="C99" s="4">
        <v>6</v>
      </c>
      <c r="D99" s="2">
        <v>2.686E-3</v>
      </c>
    </row>
    <row r="100" spans="1:4">
      <c r="A100" s="2" t="s">
        <v>176</v>
      </c>
      <c r="B100" s="4">
        <v>10</v>
      </c>
      <c r="C100" s="4">
        <v>7</v>
      </c>
      <c r="D100" s="2">
        <v>2.444E-3</v>
      </c>
    </row>
    <row r="101" spans="1:4">
      <c r="A101" s="2" t="s">
        <v>177</v>
      </c>
      <c r="B101" s="4">
        <v>10</v>
      </c>
      <c r="C101" s="4">
        <v>8</v>
      </c>
      <c r="D101" s="2">
        <v>2.8630000000000001E-3</v>
      </c>
    </row>
    <row r="102" spans="1:4">
      <c r="A102" s="2" t="s">
        <v>178</v>
      </c>
      <c r="B102" s="4">
        <v>10</v>
      </c>
      <c r="C102" s="4">
        <v>9</v>
      </c>
      <c r="D102" s="2">
        <v>5.0549999999999998E-4</v>
      </c>
    </row>
    <row r="103" spans="1:4">
      <c r="A103" s="2" t="s">
        <v>179</v>
      </c>
      <c r="B103" s="4">
        <v>10</v>
      </c>
      <c r="C103" s="4">
        <v>10</v>
      </c>
      <c r="D103" s="2">
        <v>-1.2260000000000001E-3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65"/>
  <sheetViews>
    <sheetView zoomScale="70" zoomScaleNormal="70" workbookViewId="0"/>
  </sheetViews>
  <sheetFormatPr baseColWidth="10" defaultColWidth="8.83203125" defaultRowHeight="15"/>
  <cols>
    <col min="1" max="1" width="12.6640625" customWidth="1"/>
    <col min="2" max="6" width="12.6640625" style="1" customWidth="1"/>
    <col min="7" max="18" width="8.83203125" style="1"/>
  </cols>
  <sheetData>
    <row r="1" spans="1:7">
      <c r="A1" s="16" t="s">
        <v>187</v>
      </c>
      <c r="B1"/>
      <c r="C1"/>
      <c r="D1"/>
      <c r="E1"/>
      <c r="F1"/>
      <c r="G1" s="9"/>
    </row>
    <row r="2" spans="1:7">
      <c r="B2"/>
      <c r="C2"/>
      <c r="D2"/>
      <c r="E2"/>
      <c r="F2"/>
    </row>
    <row r="3" spans="1:7">
      <c r="B3"/>
      <c r="C3"/>
      <c r="D3"/>
      <c r="E3"/>
      <c r="F3"/>
    </row>
    <row r="4" spans="1:7">
      <c r="B4"/>
      <c r="C4"/>
      <c r="D4" s="58" t="s">
        <v>181</v>
      </c>
      <c r="E4" s="58"/>
      <c r="F4"/>
    </row>
    <row r="5" spans="1:7" ht="32">
      <c r="A5" s="12" t="s">
        <v>182</v>
      </c>
      <c r="B5" s="12" t="s">
        <v>183</v>
      </c>
      <c r="C5" s="12" t="s">
        <v>184</v>
      </c>
      <c r="D5" s="12" t="s">
        <v>185</v>
      </c>
      <c r="E5" s="12" t="s">
        <v>79</v>
      </c>
      <c r="F5" s="12" t="s">
        <v>186</v>
      </c>
    </row>
    <row r="6" spans="1:7">
      <c r="A6" s="1">
        <v>1</v>
      </c>
      <c r="B6" s="1">
        <v>1</v>
      </c>
      <c r="C6" s="1">
        <v>-5</v>
      </c>
      <c r="D6" s="4">
        <v>9.0070000000000014</v>
      </c>
      <c r="E6" s="4">
        <v>5.5020000000000017E-3</v>
      </c>
      <c r="F6" s="19">
        <v>2198000</v>
      </c>
    </row>
    <row r="7" spans="1:7">
      <c r="A7" s="1">
        <v>1</v>
      </c>
      <c r="B7" s="1">
        <v>1</v>
      </c>
      <c r="C7" s="1">
        <v>-4</v>
      </c>
      <c r="D7" s="4">
        <v>9.0120000000000022</v>
      </c>
      <c r="E7" s="4">
        <v>1.1320000000000005E-2</v>
      </c>
      <c r="F7" s="19">
        <v>2198000</v>
      </c>
    </row>
    <row r="8" spans="1:7">
      <c r="A8" s="1">
        <v>1</v>
      </c>
      <c r="B8" s="1">
        <v>1</v>
      </c>
      <c r="C8" s="1">
        <v>-3</v>
      </c>
      <c r="D8" s="4">
        <v>8.9960000000000022</v>
      </c>
      <c r="E8" s="4">
        <v>-5.4370000000000017E-3</v>
      </c>
      <c r="F8" s="19">
        <v>2198000</v>
      </c>
    </row>
    <row r="9" spans="1:7">
      <c r="A9" s="1">
        <v>1</v>
      </c>
      <c r="B9" s="1">
        <v>1</v>
      </c>
      <c r="C9" s="1">
        <v>-2</v>
      </c>
      <c r="D9" s="4">
        <v>9.0040000000000013</v>
      </c>
      <c r="E9" s="4">
        <v>2.6500000000000009E-3</v>
      </c>
      <c r="F9" s="19">
        <v>2198000</v>
      </c>
    </row>
    <row r="10" spans="1:7">
      <c r="A10" s="1">
        <v>1</v>
      </c>
      <c r="B10" s="1">
        <v>1</v>
      </c>
      <c r="C10" s="1">
        <v>-1</v>
      </c>
      <c r="D10" s="4">
        <v>9.0030000000000019</v>
      </c>
      <c r="E10" s="4">
        <v>1.6950000000000005E-3</v>
      </c>
      <c r="F10" s="19">
        <v>2198000</v>
      </c>
    </row>
    <row r="11" spans="1:7">
      <c r="A11" s="1">
        <v>1</v>
      </c>
      <c r="B11" s="1">
        <v>1</v>
      </c>
      <c r="C11" s="1">
        <v>0</v>
      </c>
      <c r="D11" s="4">
        <v>8.9800000000000022</v>
      </c>
      <c r="E11" s="4">
        <v>-7.7950000000000033E-3</v>
      </c>
      <c r="F11" s="19">
        <v>2198000</v>
      </c>
    </row>
    <row r="12" spans="1:7">
      <c r="A12" s="1">
        <v>1</v>
      </c>
      <c r="B12" s="1">
        <v>1</v>
      </c>
      <c r="C12" s="1">
        <v>1</v>
      </c>
      <c r="D12" s="4">
        <v>8.9980000000000029</v>
      </c>
      <c r="E12" s="4">
        <v>9.7380000000000036E-3</v>
      </c>
      <c r="F12" s="19">
        <v>2198000</v>
      </c>
    </row>
    <row r="13" spans="1:7">
      <c r="A13" s="1">
        <v>1</v>
      </c>
      <c r="B13" s="1">
        <v>1</v>
      </c>
      <c r="C13" s="1">
        <v>2</v>
      </c>
      <c r="D13" s="4">
        <v>8.9940000000000015</v>
      </c>
      <c r="E13" s="4">
        <v>5.7220000000000023E-3</v>
      </c>
      <c r="F13" s="19">
        <v>2198000</v>
      </c>
    </row>
    <row r="14" spans="1:7">
      <c r="A14" s="1">
        <v>1</v>
      </c>
      <c r="B14" s="1">
        <v>1</v>
      </c>
      <c r="C14" s="1">
        <v>3</v>
      </c>
      <c r="D14" s="4">
        <v>8.9940000000000015</v>
      </c>
      <c r="E14" s="4">
        <v>5.8620000000000026E-3</v>
      </c>
      <c r="F14" s="19">
        <v>2198000</v>
      </c>
    </row>
    <row r="15" spans="1:7">
      <c r="A15" s="1">
        <v>1</v>
      </c>
      <c r="B15" s="1">
        <v>1</v>
      </c>
      <c r="C15" s="1">
        <v>4</v>
      </c>
      <c r="D15" s="4">
        <v>8.9910000000000014</v>
      </c>
      <c r="E15" s="4">
        <v>3.020000000000001E-3</v>
      </c>
      <c r="F15" s="19">
        <v>2198000</v>
      </c>
    </row>
    <row r="16" spans="1:7">
      <c r="A16" s="1">
        <v>1</v>
      </c>
      <c r="B16" s="1">
        <v>2</v>
      </c>
      <c r="C16" s="1">
        <v>-5</v>
      </c>
      <c r="D16" s="4">
        <v>9.0240000000000027</v>
      </c>
      <c r="E16" s="4">
        <v>1.2400000000000005E-2</v>
      </c>
      <c r="F16" s="19">
        <v>1063000</v>
      </c>
    </row>
    <row r="17" spans="1:6">
      <c r="A17" s="1">
        <v>1</v>
      </c>
      <c r="B17" s="1">
        <v>2</v>
      </c>
      <c r="C17" s="1">
        <v>-4</v>
      </c>
      <c r="D17" s="4">
        <v>9.0360000000000014</v>
      </c>
      <c r="E17" s="4">
        <v>2.4500000000000011E-2</v>
      </c>
      <c r="F17" s="19">
        <v>1063000</v>
      </c>
    </row>
    <row r="18" spans="1:6">
      <c r="A18" s="1">
        <v>1</v>
      </c>
      <c r="B18" s="1">
        <v>2</v>
      </c>
      <c r="C18" s="1">
        <v>-3</v>
      </c>
      <c r="D18" s="4">
        <v>9.022000000000002</v>
      </c>
      <c r="E18" s="4">
        <v>9.6210000000000028E-3</v>
      </c>
      <c r="F18" s="19">
        <v>1063000</v>
      </c>
    </row>
    <row r="19" spans="1:6">
      <c r="A19" s="1">
        <v>1</v>
      </c>
      <c r="B19" s="1">
        <v>2</v>
      </c>
      <c r="C19" s="1">
        <v>-2</v>
      </c>
      <c r="D19" s="4">
        <v>9.0300000000000029</v>
      </c>
      <c r="E19" s="4">
        <v>1.8000000000000009E-2</v>
      </c>
      <c r="F19" s="19">
        <v>1063000</v>
      </c>
    </row>
    <row r="20" spans="1:6">
      <c r="A20" s="1">
        <v>1</v>
      </c>
      <c r="B20" s="1">
        <v>2</v>
      </c>
      <c r="C20" s="1">
        <v>-1</v>
      </c>
      <c r="D20" s="4">
        <v>9.0210000000000026</v>
      </c>
      <c r="E20" s="4">
        <v>9.0740000000000039E-3</v>
      </c>
      <c r="F20" s="19">
        <v>1063000</v>
      </c>
    </row>
    <row r="21" spans="1:6">
      <c r="A21" s="1">
        <v>1</v>
      </c>
      <c r="B21" s="1">
        <v>2</v>
      </c>
      <c r="C21" s="1">
        <v>0</v>
      </c>
      <c r="D21" s="4">
        <v>9.1240000000000023</v>
      </c>
      <c r="E21" s="4">
        <v>-3.8680000000000013E-2</v>
      </c>
      <c r="F21" s="19">
        <v>1063000</v>
      </c>
    </row>
    <row r="22" spans="1:6">
      <c r="A22" s="1">
        <v>1</v>
      </c>
      <c r="B22" s="1">
        <v>2</v>
      </c>
      <c r="C22" s="1">
        <v>1</v>
      </c>
      <c r="D22" s="4">
        <v>9.1440000000000019</v>
      </c>
      <c r="E22" s="4">
        <v>-1.8610000000000008E-2</v>
      </c>
      <c r="F22" s="19">
        <v>1063000</v>
      </c>
    </row>
    <row r="23" spans="1:6">
      <c r="A23" s="1">
        <v>1</v>
      </c>
      <c r="B23" s="1">
        <v>2</v>
      </c>
      <c r="C23" s="1">
        <v>2</v>
      </c>
      <c r="D23" s="4">
        <v>9.1490000000000027</v>
      </c>
      <c r="E23" s="4">
        <v>-1.3990000000000006E-2</v>
      </c>
      <c r="F23" s="19">
        <v>1063000</v>
      </c>
    </row>
    <row r="24" spans="1:6">
      <c r="A24" s="1">
        <v>1</v>
      </c>
      <c r="B24" s="1">
        <v>2</v>
      </c>
      <c r="C24" s="1">
        <v>3</v>
      </c>
      <c r="D24" s="4">
        <v>9.1540000000000017</v>
      </c>
      <c r="E24" s="4">
        <v>-8.6970000000000033E-3</v>
      </c>
      <c r="F24" s="19">
        <v>1063000</v>
      </c>
    </row>
    <row r="25" spans="1:6">
      <c r="A25" s="1">
        <v>1</v>
      </c>
      <c r="B25" s="1">
        <v>2</v>
      </c>
      <c r="C25" s="1">
        <v>4</v>
      </c>
      <c r="D25" s="4">
        <v>9.1520000000000028</v>
      </c>
      <c r="E25" s="4">
        <v>-1.0340000000000004E-2</v>
      </c>
      <c r="F25" s="19">
        <v>1063000</v>
      </c>
    </row>
    <row r="26" spans="1:6">
      <c r="A26" s="1">
        <v>1</v>
      </c>
      <c r="B26" s="1">
        <v>3</v>
      </c>
      <c r="C26" s="1">
        <v>-5</v>
      </c>
      <c r="D26" s="4">
        <v>9.0050000000000026</v>
      </c>
      <c r="E26" s="4">
        <v>1.5630000000000005E-2</v>
      </c>
      <c r="F26" s="19">
        <v>622000</v>
      </c>
    </row>
    <row r="27" spans="1:6">
      <c r="A27" s="1">
        <v>1</v>
      </c>
      <c r="B27" s="1">
        <v>3</v>
      </c>
      <c r="C27" s="1">
        <v>-4</v>
      </c>
      <c r="D27" s="4">
        <v>9.0200000000000014</v>
      </c>
      <c r="E27" s="4">
        <v>3.0260000000000013E-2</v>
      </c>
      <c r="F27" s="19">
        <v>622000</v>
      </c>
    </row>
    <row r="28" spans="1:6">
      <c r="A28" s="1">
        <v>1</v>
      </c>
      <c r="B28" s="1">
        <v>3</v>
      </c>
      <c r="C28" s="1">
        <v>-3</v>
      </c>
      <c r="D28" s="4">
        <v>9.0140000000000029</v>
      </c>
      <c r="E28" s="4">
        <v>2.4860000000000011E-2</v>
      </c>
      <c r="F28" s="19">
        <v>622000</v>
      </c>
    </row>
    <row r="29" spans="1:6">
      <c r="A29" s="1">
        <v>1</v>
      </c>
      <c r="B29" s="1">
        <v>3</v>
      </c>
      <c r="C29" s="1">
        <v>-2</v>
      </c>
      <c r="D29" s="4">
        <v>9.0160000000000018</v>
      </c>
      <c r="E29" s="4">
        <v>2.6130000000000011E-2</v>
      </c>
      <c r="F29" s="19">
        <v>622000</v>
      </c>
    </row>
    <row r="30" spans="1:6">
      <c r="A30" s="1">
        <v>1</v>
      </c>
      <c r="B30" s="1">
        <v>3</v>
      </c>
      <c r="C30" s="1">
        <v>-1</v>
      </c>
      <c r="D30" s="4">
        <v>9.0050000000000026</v>
      </c>
      <c r="E30" s="4">
        <v>1.5770000000000006E-2</v>
      </c>
      <c r="F30" s="19">
        <v>622000</v>
      </c>
    </row>
    <row r="31" spans="1:6">
      <c r="A31" s="1">
        <v>1</v>
      </c>
      <c r="B31" s="1">
        <v>3</v>
      </c>
      <c r="C31" s="1">
        <v>0</v>
      </c>
      <c r="D31" s="4">
        <v>9.219000000000003</v>
      </c>
      <c r="E31" s="4">
        <v>-6.6510000000000027E-2</v>
      </c>
      <c r="F31" s="19">
        <v>622000</v>
      </c>
    </row>
    <row r="32" spans="1:6">
      <c r="A32" s="1">
        <v>1</v>
      </c>
      <c r="B32" s="1">
        <v>3</v>
      </c>
      <c r="C32" s="1">
        <v>1</v>
      </c>
      <c r="D32" s="4">
        <v>9.2450000000000028</v>
      </c>
      <c r="E32" s="4">
        <v>-4.0350000000000018E-2</v>
      </c>
      <c r="F32" s="19">
        <v>622000</v>
      </c>
    </row>
    <row r="33" spans="1:6">
      <c r="A33" s="1">
        <v>1</v>
      </c>
      <c r="B33" s="1">
        <v>3</v>
      </c>
      <c r="C33" s="1">
        <v>2</v>
      </c>
      <c r="D33" s="4">
        <v>9.251000000000003</v>
      </c>
      <c r="E33" s="4">
        <v>-3.4260000000000013E-2</v>
      </c>
      <c r="F33" s="19">
        <v>622000</v>
      </c>
    </row>
    <row r="34" spans="1:6">
      <c r="A34" s="1">
        <v>1</v>
      </c>
      <c r="B34" s="1">
        <v>3</v>
      </c>
      <c r="C34" s="1">
        <v>3</v>
      </c>
      <c r="D34" s="4">
        <v>9.2690000000000019</v>
      </c>
      <c r="E34" s="4">
        <v>-1.6140000000000009E-2</v>
      </c>
      <c r="F34" s="19">
        <v>622000</v>
      </c>
    </row>
    <row r="35" spans="1:6">
      <c r="A35" s="1">
        <v>1</v>
      </c>
      <c r="B35" s="1">
        <v>3</v>
      </c>
      <c r="C35" s="1">
        <v>4</v>
      </c>
      <c r="D35" s="4">
        <v>9.2650000000000023</v>
      </c>
      <c r="E35" s="4">
        <v>-2.0590000000000008E-2</v>
      </c>
      <c r="F35" s="19">
        <v>622000</v>
      </c>
    </row>
    <row r="36" spans="1:6">
      <c r="A36" s="1">
        <v>1</v>
      </c>
      <c r="B36" s="1">
        <v>4</v>
      </c>
      <c r="C36" s="1">
        <v>-5</v>
      </c>
      <c r="D36" s="4">
        <v>9.033000000000003</v>
      </c>
      <c r="E36" s="4">
        <v>1.2790000000000006E-2</v>
      </c>
      <c r="F36" s="19">
        <v>311000</v>
      </c>
    </row>
    <row r="37" spans="1:6">
      <c r="A37" s="1">
        <v>1</v>
      </c>
      <c r="B37" s="1">
        <v>4</v>
      </c>
      <c r="C37" s="1">
        <v>-4</v>
      </c>
      <c r="D37" s="4">
        <v>9.0500000000000025</v>
      </c>
      <c r="E37" s="4">
        <v>2.9820000000000013E-2</v>
      </c>
      <c r="F37" s="19">
        <v>311000</v>
      </c>
    </row>
    <row r="38" spans="1:6">
      <c r="A38" s="1">
        <v>1</v>
      </c>
      <c r="B38" s="1">
        <v>4</v>
      </c>
      <c r="C38" s="1">
        <v>-3</v>
      </c>
      <c r="D38" s="4">
        <v>9.0440000000000023</v>
      </c>
      <c r="E38" s="4">
        <v>2.393000000000001E-2</v>
      </c>
      <c r="F38" s="19">
        <v>311000</v>
      </c>
    </row>
    <row r="39" spans="1:6">
      <c r="A39" s="1">
        <v>1</v>
      </c>
      <c r="B39" s="1">
        <v>4</v>
      </c>
      <c r="C39" s="1">
        <v>-2</v>
      </c>
      <c r="D39" s="4">
        <v>9.0470000000000024</v>
      </c>
      <c r="E39" s="4">
        <v>2.665000000000001E-2</v>
      </c>
      <c r="F39" s="19">
        <v>311000</v>
      </c>
    </row>
    <row r="40" spans="1:6">
      <c r="A40" s="1">
        <v>1</v>
      </c>
      <c r="B40" s="1">
        <v>4</v>
      </c>
      <c r="C40" s="1">
        <v>-1</v>
      </c>
      <c r="D40" s="4">
        <v>9.0360000000000014</v>
      </c>
      <c r="E40" s="4">
        <v>1.6220000000000005E-2</v>
      </c>
      <c r="F40" s="19">
        <v>311000</v>
      </c>
    </row>
    <row r="41" spans="1:6">
      <c r="A41" s="1">
        <v>1</v>
      </c>
      <c r="B41" s="1">
        <v>4</v>
      </c>
      <c r="C41" s="1">
        <v>0</v>
      </c>
      <c r="D41" s="4">
        <v>9.4420000000000019</v>
      </c>
      <c r="E41" s="4">
        <v>-8.7220000000000034E-2</v>
      </c>
      <c r="F41" s="19">
        <v>311000</v>
      </c>
    </row>
    <row r="42" spans="1:6">
      <c r="A42" s="1">
        <v>1</v>
      </c>
      <c r="B42" s="1">
        <v>4</v>
      </c>
      <c r="C42" s="1">
        <v>1</v>
      </c>
      <c r="D42" s="4">
        <v>9.4750000000000014</v>
      </c>
      <c r="E42" s="4">
        <v>-5.4230000000000021E-2</v>
      </c>
      <c r="F42" s="19">
        <v>311000</v>
      </c>
    </row>
    <row r="43" spans="1:6">
      <c r="A43" s="1">
        <v>1</v>
      </c>
      <c r="B43" s="1">
        <v>4</v>
      </c>
      <c r="C43" s="1">
        <v>2</v>
      </c>
      <c r="D43" s="4">
        <v>9.4890000000000025</v>
      </c>
      <c r="E43" s="4">
        <v>-4.0120000000000017E-2</v>
      </c>
      <c r="F43" s="19">
        <v>311000</v>
      </c>
    </row>
    <row r="44" spans="1:6">
      <c r="A44" s="1">
        <v>1</v>
      </c>
      <c r="B44" s="1">
        <v>4</v>
      </c>
      <c r="C44" s="1">
        <v>3</v>
      </c>
      <c r="D44" s="4">
        <v>9.5110000000000028</v>
      </c>
      <c r="E44" s="4">
        <v>-1.7900000000000006E-2</v>
      </c>
      <c r="F44" s="19">
        <v>311000</v>
      </c>
    </row>
    <row r="45" spans="1:6">
      <c r="A45" s="1">
        <v>1</v>
      </c>
      <c r="B45" s="1">
        <v>4</v>
      </c>
      <c r="C45" s="1">
        <v>4</v>
      </c>
      <c r="D45" s="4">
        <v>9.5100000000000016</v>
      </c>
      <c r="E45" s="4">
        <v>-1.9080000000000007E-2</v>
      </c>
      <c r="F45" s="19">
        <v>311000</v>
      </c>
    </row>
    <row r="46" spans="1:6">
      <c r="A46" s="1">
        <v>2</v>
      </c>
      <c r="B46" s="1">
        <v>1</v>
      </c>
      <c r="C46" s="1">
        <v>-5</v>
      </c>
      <c r="D46" s="4">
        <v>9.1720000000000024</v>
      </c>
      <c r="E46" s="4">
        <v>-4.1330000000000013E-3</v>
      </c>
      <c r="F46" s="19">
        <v>1095000</v>
      </c>
    </row>
    <row r="47" spans="1:6">
      <c r="A47" s="1">
        <v>2</v>
      </c>
      <c r="B47" s="1">
        <v>1</v>
      </c>
      <c r="C47" s="1">
        <v>-4</v>
      </c>
      <c r="D47" s="4">
        <v>9.1750000000000025</v>
      </c>
      <c r="E47" s="4">
        <v>-8.9610000000000048E-4</v>
      </c>
      <c r="F47" s="19">
        <v>1095000</v>
      </c>
    </row>
    <row r="48" spans="1:6">
      <c r="A48" s="1">
        <v>2</v>
      </c>
      <c r="B48" s="1">
        <v>1</v>
      </c>
      <c r="C48" s="1">
        <v>-3</v>
      </c>
      <c r="D48" s="4">
        <v>9.158000000000003</v>
      </c>
      <c r="E48" s="4">
        <v>-1.7830000000000009E-2</v>
      </c>
      <c r="F48" s="19">
        <v>1095000</v>
      </c>
    </row>
    <row r="49" spans="1:6">
      <c r="A49" s="1">
        <v>2</v>
      </c>
      <c r="B49" s="1">
        <v>1</v>
      </c>
      <c r="C49" s="1">
        <v>-2</v>
      </c>
      <c r="D49" s="4">
        <v>9.1640000000000015</v>
      </c>
      <c r="E49" s="4">
        <v>-1.2030000000000004E-2</v>
      </c>
      <c r="F49" s="19">
        <v>1095000</v>
      </c>
    </row>
    <row r="50" spans="1:6">
      <c r="A50" s="1">
        <v>2</v>
      </c>
      <c r="B50" s="1">
        <v>1</v>
      </c>
      <c r="C50" s="1">
        <v>-1</v>
      </c>
      <c r="D50" s="4">
        <v>9.1540000000000017</v>
      </c>
      <c r="E50" s="4">
        <v>-2.190000000000001E-2</v>
      </c>
      <c r="F50" s="19">
        <v>1095000</v>
      </c>
    </row>
    <row r="51" spans="1:6">
      <c r="A51" s="1">
        <v>2</v>
      </c>
      <c r="B51" s="1">
        <v>1</v>
      </c>
      <c r="C51" s="1">
        <v>0</v>
      </c>
      <c r="D51" s="4">
        <v>9.0370000000000026</v>
      </c>
      <c r="E51" s="4">
        <v>3.1040000000000013E-3</v>
      </c>
      <c r="F51" s="19">
        <v>1095000</v>
      </c>
    </row>
    <row r="52" spans="1:6">
      <c r="A52" s="1">
        <v>2</v>
      </c>
      <c r="B52" s="1">
        <v>1</v>
      </c>
      <c r="C52" s="1">
        <v>1</v>
      </c>
      <c r="D52" s="4">
        <v>9.054000000000002</v>
      </c>
      <c r="E52" s="4">
        <v>2.0400000000000008E-2</v>
      </c>
      <c r="F52" s="19">
        <v>1095000</v>
      </c>
    </row>
    <row r="53" spans="1:6">
      <c r="A53" s="1">
        <v>2</v>
      </c>
      <c r="B53" s="1">
        <v>1</v>
      </c>
      <c r="C53" s="1">
        <v>2</v>
      </c>
      <c r="D53" s="4">
        <v>9.0480000000000018</v>
      </c>
      <c r="E53" s="4">
        <v>1.3630000000000005E-2</v>
      </c>
      <c r="F53" s="19">
        <v>1095000</v>
      </c>
    </row>
    <row r="54" spans="1:6">
      <c r="A54" s="1">
        <v>2</v>
      </c>
      <c r="B54" s="1">
        <v>1</v>
      </c>
      <c r="C54" s="1">
        <v>3</v>
      </c>
      <c r="D54" s="4">
        <v>9.0500000000000025</v>
      </c>
      <c r="E54" s="4">
        <v>1.6060000000000008E-2</v>
      </c>
      <c r="F54" s="19">
        <v>1095000</v>
      </c>
    </row>
    <row r="55" spans="1:6">
      <c r="A55" s="1">
        <v>2</v>
      </c>
      <c r="B55" s="1">
        <v>1</v>
      </c>
      <c r="C55" s="1">
        <v>4</v>
      </c>
      <c r="D55" s="4">
        <v>9.0440000000000023</v>
      </c>
      <c r="E55" s="4">
        <v>1.0180000000000005E-2</v>
      </c>
      <c r="F55" s="19">
        <v>1095000</v>
      </c>
    </row>
    <row r="56" spans="1:6">
      <c r="A56" s="1">
        <v>2</v>
      </c>
      <c r="B56" s="1">
        <v>2</v>
      </c>
      <c r="C56" s="1">
        <v>-5</v>
      </c>
      <c r="D56" s="4">
        <v>9.2410000000000014</v>
      </c>
      <c r="E56" s="4">
        <v>1.9290000000000008E-3</v>
      </c>
      <c r="F56" s="19">
        <v>2020000</v>
      </c>
    </row>
    <row r="57" spans="1:6">
      <c r="A57" s="1">
        <v>2</v>
      </c>
      <c r="B57" s="1">
        <v>2</v>
      </c>
      <c r="C57" s="1">
        <v>-4</v>
      </c>
      <c r="D57" s="4">
        <v>9.2470000000000017</v>
      </c>
      <c r="E57" s="4">
        <v>7.9200000000000034E-3</v>
      </c>
      <c r="F57" s="19">
        <v>2020000</v>
      </c>
    </row>
    <row r="58" spans="1:6">
      <c r="A58" s="1">
        <v>2</v>
      </c>
      <c r="B58" s="1">
        <v>2</v>
      </c>
      <c r="C58" s="1">
        <v>-3</v>
      </c>
      <c r="D58" s="4">
        <v>9.2370000000000019</v>
      </c>
      <c r="E58" s="4">
        <v>-2.2940000000000009E-3</v>
      </c>
      <c r="F58" s="19">
        <v>2020000</v>
      </c>
    </row>
    <row r="59" spans="1:6">
      <c r="A59" s="1">
        <v>2</v>
      </c>
      <c r="B59" s="1">
        <v>2</v>
      </c>
      <c r="C59" s="1">
        <v>-2</v>
      </c>
      <c r="D59" s="4">
        <v>9.2390000000000025</v>
      </c>
      <c r="E59" s="4">
        <v>2.9910000000000017E-4</v>
      </c>
      <c r="F59" s="19">
        <v>2020000</v>
      </c>
    </row>
    <row r="60" spans="1:6">
      <c r="A60" s="1">
        <v>2</v>
      </c>
      <c r="B60" s="1">
        <v>2</v>
      </c>
      <c r="C60" s="1">
        <v>-1</v>
      </c>
      <c r="D60" s="4">
        <v>9.2360000000000024</v>
      </c>
      <c r="E60" s="4">
        <v>-3.4430000000000012E-3</v>
      </c>
      <c r="F60" s="19">
        <v>2020000</v>
      </c>
    </row>
    <row r="61" spans="1:6">
      <c r="A61" s="1">
        <v>2</v>
      </c>
      <c r="B61" s="1">
        <v>2</v>
      </c>
      <c r="C61" s="1">
        <v>0</v>
      </c>
      <c r="D61" s="4">
        <v>9.235000000000003</v>
      </c>
      <c r="E61" s="4">
        <v>-2.1720000000000008E-3</v>
      </c>
      <c r="F61" s="19">
        <v>2020000</v>
      </c>
    </row>
    <row r="62" spans="1:6">
      <c r="A62" s="1">
        <v>2</v>
      </c>
      <c r="B62" s="1">
        <v>2</v>
      </c>
      <c r="C62" s="1">
        <v>1</v>
      </c>
      <c r="D62" s="4">
        <v>9.2480000000000029</v>
      </c>
      <c r="E62" s="4">
        <v>1.1400000000000006E-2</v>
      </c>
      <c r="F62" s="19">
        <v>2020000</v>
      </c>
    </row>
    <row r="63" spans="1:6">
      <c r="A63" s="1">
        <v>2</v>
      </c>
      <c r="B63" s="1">
        <v>2</v>
      </c>
      <c r="C63" s="1">
        <v>2</v>
      </c>
      <c r="D63" s="4">
        <v>9.2460000000000022</v>
      </c>
      <c r="E63" s="4">
        <v>8.603000000000003E-3</v>
      </c>
      <c r="F63" s="19">
        <v>2020000</v>
      </c>
    </row>
    <row r="64" spans="1:6">
      <c r="A64" s="1">
        <v>2</v>
      </c>
      <c r="B64" s="1">
        <v>2</v>
      </c>
      <c r="C64" s="1">
        <v>3</v>
      </c>
      <c r="D64" s="4">
        <v>9.2470000000000017</v>
      </c>
      <c r="E64" s="4">
        <v>9.7120000000000036E-3</v>
      </c>
      <c r="F64" s="19">
        <v>2020000</v>
      </c>
    </row>
    <row r="65" spans="1:6">
      <c r="A65" s="1">
        <v>2</v>
      </c>
      <c r="B65" s="1">
        <v>2</v>
      </c>
      <c r="C65" s="1">
        <v>4</v>
      </c>
      <c r="D65" s="4">
        <v>9.2410000000000014</v>
      </c>
      <c r="E65" s="4">
        <v>4.4060000000000019E-3</v>
      </c>
      <c r="F65" s="19">
        <v>2020000</v>
      </c>
    </row>
    <row r="66" spans="1:6">
      <c r="A66" s="1">
        <v>2</v>
      </c>
      <c r="B66" s="1">
        <v>3</v>
      </c>
      <c r="C66" s="1">
        <v>-5</v>
      </c>
      <c r="D66" s="4">
        <v>9.2700000000000014</v>
      </c>
      <c r="E66" s="4">
        <v>8.1930000000000024E-3</v>
      </c>
      <c r="F66" s="19">
        <v>1172000</v>
      </c>
    </row>
    <row r="67" spans="1:6">
      <c r="A67" s="1">
        <v>2</v>
      </c>
      <c r="B67" s="1">
        <v>3</v>
      </c>
      <c r="C67" s="1">
        <v>-4</v>
      </c>
      <c r="D67" s="4">
        <v>9.2810000000000024</v>
      </c>
      <c r="E67" s="4">
        <v>1.9780000000000009E-2</v>
      </c>
      <c r="F67" s="19">
        <v>1172000</v>
      </c>
    </row>
    <row r="68" spans="1:6">
      <c r="A68" s="1">
        <v>2</v>
      </c>
      <c r="B68" s="1">
        <v>3</v>
      </c>
      <c r="C68" s="1">
        <v>-3</v>
      </c>
      <c r="D68" s="4">
        <v>9.272000000000002</v>
      </c>
      <c r="E68" s="4">
        <v>1.0480000000000005E-2</v>
      </c>
      <c r="F68" s="19">
        <v>1172000</v>
      </c>
    </row>
    <row r="69" spans="1:6">
      <c r="A69" s="1">
        <v>2</v>
      </c>
      <c r="B69" s="1">
        <v>3</v>
      </c>
      <c r="C69" s="1">
        <v>-2</v>
      </c>
      <c r="D69" s="4">
        <v>9.2760000000000016</v>
      </c>
      <c r="E69" s="4">
        <v>1.4940000000000007E-2</v>
      </c>
      <c r="F69" s="19">
        <v>1172000</v>
      </c>
    </row>
    <row r="70" spans="1:6">
      <c r="A70" s="1">
        <v>2</v>
      </c>
      <c r="B70" s="1">
        <v>3</v>
      </c>
      <c r="C70" s="1">
        <v>-1</v>
      </c>
      <c r="D70" s="4">
        <v>9.2680000000000025</v>
      </c>
      <c r="E70" s="4">
        <v>6.5730000000000025E-3</v>
      </c>
      <c r="F70" s="19">
        <v>1172000</v>
      </c>
    </row>
    <row r="71" spans="1:6">
      <c r="A71" s="1">
        <v>2</v>
      </c>
      <c r="B71" s="1">
        <v>3</v>
      </c>
      <c r="C71" s="1">
        <v>0</v>
      </c>
      <c r="D71" s="4">
        <v>9.3500000000000014</v>
      </c>
      <c r="E71" s="4">
        <v>-2.8040000000000013E-2</v>
      </c>
      <c r="F71" s="19">
        <v>1172000</v>
      </c>
    </row>
    <row r="72" spans="1:6">
      <c r="A72" s="1">
        <v>2</v>
      </c>
      <c r="B72" s="1">
        <v>3</v>
      </c>
      <c r="C72" s="1">
        <v>1</v>
      </c>
      <c r="D72" s="4">
        <v>9.3660000000000014</v>
      </c>
      <c r="E72" s="4">
        <v>-1.1890000000000005E-2</v>
      </c>
      <c r="F72" s="19">
        <v>1172000</v>
      </c>
    </row>
    <row r="73" spans="1:6">
      <c r="A73" s="1">
        <v>2</v>
      </c>
      <c r="B73" s="1">
        <v>3</v>
      </c>
      <c r="C73" s="1">
        <v>2</v>
      </c>
      <c r="D73" s="4">
        <v>9.3700000000000028</v>
      </c>
      <c r="E73" s="4">
        <v>-8.4770000000000036E-3</v>
      </c>
      <c r="F73" s="19">
        <v>1172000</v>
      </c>
    </row>
    <row r="74" spans="1:6">
      <c r="A74" s="1">
        <v>2</v>
      </c>
      <c r="B74" s="1">
        <v>3</v>
      </c>
      <c r="C74" s="1">
        <v>3</v>
      </c>
      <c r="D74" s="4">
        <v>9.3770000000000024</v>
      </c>
      <c r="E74" s="4">
        <v>-1.2600000000000005E-3</v>
      </c>
      <c r="F74" s="19">
        <v>1172000</v>
      </c>
    </row>
    <row r="75" spans="1:6">
      <c r="A75" s="1">
        <v>2</v>
      </c>
      <c r="B75" s="1">
        <v>3</v>
      </c>
      <c r="C75" s="1">
        <v>4</v>
      </c>
      <c r="D75" s="4">
        <v>9.3730000000000029</v>
      </c>
      <c r="E75" s="4">
        <v>-5.387000000000002E-3</v>
      </c>
      <c r="F75" s="19">
        <v>1172000</v>
      </c>
    </row>
    <row r="76" spans="1:6">
      <c r="A76" s="1">
        <v>2</v>
      </c>
      <c r="B76" s="1">
        <v>4</v>
      </c>
      <c r="C76" s="1">
        <v>-5</v>
      </c>
      <c r="D76" s="4">
        <v>9.2810000000000024</v>
      </c>
      <c r="E76" s="4">
        <v>1.3830000000000005E-2</v>
      </c>
      <c r="F76" s="19">
        <v>521000</v>
      </c>
    </row>
    <row r="77" spans="1:6">
      <c r="A77" s="1">
        <v>2</v>
      </c>
      <c r="B77" s="1">
        <v>4</v>
      </c>
      <c r="C77" s="1">
        <v>-4</v>
      </c>
      <c r="D77" s="4">
        <v>9.2980000000000018</v>
      </c>
      <c r="E77" s="4">
        <v>3.0400000000000014E-2</v>
      </c>
      <c r="F77" s="19">
        <v>521000</v>
      </c>
    </row>
    <row r="78" spans="1:6">
      <c r="A78" s="1">
        <v>2</v>
      </c>
      <c r="B78" s="1">
        <v>4</v>
      </c>
      <c r="C78" s="1">
        <v>-3</v>
      </c>
      <c r="D78" s="4">
        <v>9.2930000000000028</v>
      </c>
      <c r="E78" s="4">
        <v>2.4920000000000012E-2</v>
      </c>
      <c r="F78" s="19">
        <v>521000</v>
      </c>
    </row>
    <row r="79" spans="1:6">
      <c r="A79" s="1">
        <v>2</v>
      </c>
      <c r="B79" s="1">
        <v>4</v>
      </c>
      <c r="C79" s="1">
        <v>-2</v>
      </c>
      <c r="D79" s="4">
        <v>9.2940000000000023</v>
      </c>
      <c r="E79" s="4">
        <v>2.683000000000001E-2</v>
      </c>
      <c r="F79" s="19">
        <v>521000</v>
      </c>
    </row>
    <row r="80" spans="1:6">
      <c r="A80" s="1">
        <v>2</v>
      </c>
      <c r="B80" s="1">
        <v>4</v>
      </c>
      <c r="C80" s="1">
        <v>-1</v>
      </c>
      <c r="D80" s="4">
        <v>9.2840000000000025</v>
      </c>
      <c r="E80" s="4">
        <v>1.6820000000000009E-2</v>
      </c>
      <c r="F80" s="19">
        <v>521000</v>
      </c>
    </row>
    <row r="81" spans="1:6">
      <c r="A81" s="1">
        <v>2</v>
      </c>
      <c r="B81" s="1">
        <v>4</v>
      </c>
      <c r="C81" s="1">
        <v>0</v>
      </c>
      <c r="D81" s="4">
        <v>9.5210000000000026</v>
      </c>
      <c r="E81" s="4">
        <v>-6.9190000000000029E-2</v>
      </c>
      <c r="F81" s="19">
        <v>521000</v>
      </c>
    </row>
    <row r="82" spans="1:6">
      <c r="A82" s="1">
        <v>2</v>
      </c>
      <c r="B82" s="1">
        <v>4</v>
      </c>
      <c r="C82" s="1">
        <v>1</v>
      </c>
      <c r="D82" s="4">
        <v>9.5470000000000024</v>
      </c>
      <c r="E82" s="4">
        <v>-4.2790000000000016E-2</v>
      </c>
      <c r="F82" s="19">
        <v>521000</v>
      </c>
    </row>
    <row r="83" spans="1:6">
      <c r="A83" s="1">
        <v>2</v>
      </c>
      <c r="B83" s="1">
        <v>4</v>
      </c>
      <c r="C83" s="1">
        <v>2</v>
      </c>
      <c r="D83" s="4">
        <v>9.5570000000000022</v>
      </c>
      <c r="E83" s="4">
        <v>-3.3700000000000015E-2</v>
      </c>
      <c r="F83" s="19">
        <v>521000</v>
      </c>
    </row>
    <row r="84" spans="1:6">
      <c r="A84" s="1">
        <v>2</v>
      </c>
      <c r="B84" s="1">
        <v>4</v>
      </c>
      <c r="C84" s="1">
        <v>3</v>
      </c>
      <c r="D84" s="4">
        <v>9.5770000000000017</v>
      </c>
      <c r="E84" s="4">
        <v>-1.3260000000000006E-2</v>
      </c>
      <c r="F84" s="19">
        <v>521000</v>
      </c>
    </row>
    <row r="85" spans="1:6">
      <c r="A85" s="1">
        <v>2</v>
      </c>
      <c r="B85" s="1">
        <v>4</v>
      </c>
      <c r="C85" s="1">
        <v>4</v>
      </c>
      <c r="D85" s="4">
        <v>9.5720000000000027</v>
      </c>
      <c r="E85" s="4">
        <v>-1.8090000000000009E-2</v>
      </c>
      <c r="F85" s="19">
        <v>521000</v>
      </c>
    </row>
    <row r="86" spans="1:6">
      <c r="A86" s="1">
        <v>3</v>
      </c>
      <c r="B86" s="1">
        <v>1</v>
      </c>
      <c r="C86" s="1">
        <v>-5</v>
      </c>
      <c r="D86" s="4">
        <v>9.3320000000000025</v>
      </c>
      <c r="E86" s="4">
        <v>-6.8080000000000024E-3</v>
      </c>
      <c r="F86" s="19">
        <v>421000</v>
      </c>
    </row>
    <row r="87" spans="1:6">
      <c r="A87" s="1">
        <v>3</v>
      </c>
      <c r="B87" s="1">
        <v>1</v>
      </c>
      <c r="C87" s="1">
        <v>-4</v>
      </c>
      <c r="D87" s="4">
        <v>9.3390000000000022</v>
      </c>
      <c r="E87" s="4">
        <v>1.7930000000000008E-4</v>
      </c>
      <c r="F87" s="19">
        <v>421000</v>
      </c>
    </row>
    <row r="88" spans="1:6">
      <c r="A88" s="1">
        <v>3</v>
      </c>
      <c r="B88" s="1">
        <v>1</v>
      </c>
      <c r="C88" s="1">
        <v>-3</v>
      </c>
      <c r="D88" s="4">
        <v>9.3230000000000022</v>
      </c>
      <c r="E88" s="4">
        <v>-1.6280000000000006E-2</v>
      </c>
      <c r="F88" s="19">
        <v>421000</v>
      </c>
    </row>
    <row r="89" spans="1:6">
      <c r="A89" s="1">
        <v>3</v>
      </c>
      <c r="B89" s="1">
        <v>1</v>
      </c>
      <c r="C89" s="1">
        <v>-2</v>
      </c>
      <c r="D89" s="4">
        <v>9.3220000000000027</v>
      </c>
      <c r="E89" s="4">
        <v>-1.6360000000000006E-2</v>
      </c>
      <c r="F89" s="19">
        <v>421000</v>
      </c>
    </row>
    <row r="90" spans="1:6">
      <c r="A90" s="1">
        <v>3</v>
      </c>
      <c r="B90" s="1">
        <v>1</v>
      </c>
      <c r="C90" s="1">
        <v>-1</v>
      </c>
      <c r="D90" s="4">
        <v>9.3020000000000014</v>
      </c>
      <c r="E90" s="4">
        <v>-3.6840000000000019E-2</v>
      </c>
      <c r="F90" s="19">
        <v>421000</v>
      </c>
    </row>
    <row r="91" spans="1:6">
      <c r="A91" s="1">
        <v>3</v>
      </c>
      <c r="B91" s="1">
        <v>1</v>
      </c>
      <c r="C91" s="1">
        <v>0</v>
      </c>
      <c r="D91" s="4">
        <v>9.0260000000000016</v>
      </c>
      <c r="E91" s="4">
        <v>-9.5080000000000043E-3</v>
      </c>
      <c r="F91" s="19">
        <v>421000</v>
      </c>
    </row>
    <row r="92" spans="1:6">
      <c r="A92" s="1">
        <v>3</v>
      </c>
      <c r="B92" s="1">
        <v>1</v>
      </c>
      <c r="C92" s="1">
        <v>1</v>
      </c>
      <c r="D92" s="4">
        <v>9.0460000000000029</v>
      </c>
      <c r="E92" s="4">
        <v>1.0620000000000004E-2</v>
      </c>
      <c r="F92" s="19">
        <v>421000</v>
      </c>
    </row>
    <row r="93" spans="1:6">
      <c r="A93" s="1">
        <v>3</v>
      </c>
      <c r="B93" s="1">
        <v>1</v>
      </c>
      <c r="C93" s="1">
        <v>2</v>
      </c>
      <c r="D93" s="4">
        <v>9.0470000000000024</v>
      </c>
      <c r="E93" s="4">
        <v>1.1820000000000004E-2</v>
      </c>
      <c r="F93" s="19">
        <v>421000</v>
      </c>
    </row>
    <row r="94" spans="1:6">
      <c r="A94" s="1">
        <v>3</v>
      </c>
      <c r="B94" s="1">
        <v>1</v>
      </c>
      <c r="C94" s="1">
        <v>3</v>
      </c>
      <c r="D94" s="4">
        <v>9.0530000000000026</v>
      </c>
      <c r="E94" s="4">
        <v>1.8010000000000009E-2</v>
      </c>
      <c r="F94" s="19">
        <v>421000</v>
      </c>
    </row>
    <row r="95" spans="1:6">
      <c r="A95" s="1">
        <v>3</v>
      </c>
      <c r="B95" s="1">
        <v>1</v>
      </c>
      <c r="C95" s="1">
        <v>4</v>
      </c>
      <c r="D95" s="4">
        <v>9.0430000000000028</v>
      </c>
      <c r="E95" s="4">
        <v>8.0790000000000028E-3</v>
      </c>
      <c r="F95" s="19">
        <v>421000</v>
      </c>
    </row>
    <row r="96" spans="1:6">
      <c r="A96" s="1">
        <v>3</v>
      </c>
      <c r="B96" s="1">
        <v>2</v>
      </c>
      <c r="C96" s="1">
        <v>-5</v>
      </c>
      <c r="D96" s="4">
        <v>9.360000000000003</v>
      </c>
      <c r="E96" s="4">
        <v>-1.1030000000000005E-2</v>
      </c>
      <c r="F96" s="19">
        <v>1056000</v>
      </c>
    </row>
    <row r="97" spans="1:6">
      <c r="A97" s="1">
        <v>3</v>
      </c>
      <c r="B97" s="1">
        <v>2</v>
      </c>
      <c r="C97" s="1">
        <v>-4</v>
      </c>
      <c r="D97" s="4">
        <v>9.3660000000000014</v>
      </c>
      <c r="E97" s="4">
        <v>-5.707000000000002E-3</v>
      </c>
      <c r="F97" s="19">
        <v>1056000</v>
      </c>
    </row>
    <row r="98" spans="1:6">
      <c r="A98" s="1">
        <v>3</v>
      </c>
      <c r="B98" s="1">
        <v>2</v>
      </c>
      <c r="C98" s="1">
        <v>-3</v>
      </c>
      <c r="D98" s="4">
        <v>9.3560000000000016</v>
      </c>
      <c r="E98" s="4">
        <v>-1.5370000000000007E-2</v>
      </c>
      <c r="F98" s="19">
        <v>1056000</v>
      </c>
    </row>
    <row r="99" spans="1:6">
      <c r="A99" s="1">
        <v>3</v>
      </c>
      <c r="B99" s="1">
        <v>2</v>
      </c>
      <c r="C99" s="1">
        <v>-2</v>
      </c>
      <c r="D99" s="4">
        <v>9.3550000000000022</v>
      </c>
      <c r="E99" s="4">
        <v>-1.6700000000000007E-2</v>
      </c>
      <c r="F99" s="19">
        <v>1056000</v>
      </c>
    </row>
    <row r="100" spans="1:6">
      <c r="A100" s="1">
        <v>3</v>
      </c>
      <c r="B100" s="1">
        <v>2</v>
      </c>
      <c r="C100" s="1">
        <v>-1</v>
      </c>
      <c r="D100" s="4">
        <v>9.3450000000000024</v>
      </c>
      <c r="E100" s="4">
        <v>-2.6460000000000011E-2</v>
      </c>
      <c r="F100" s="19">
        <v>1056000</v>
      </c>
    </row>
    <row r="101" spans="1:6">
      <c r="A101" s="1">
        <v>3</v>
      </c>
      <c r="B101" s="1">
        <v>2</v>
      </c>
      <c r="C101" s="1">
        <v>0</v>
      </c>
      <c r="D101" s="4">
        <v>9.2710000000000026</v>
      </c>
      <c r="E101" s="4">
        <v>8.2230000000000029E-3</v>
      </c>
      <c r="F101" s="19">
        <v>1056000</v>
      </c>
    </row>
    <row r="102" spans="1:6">
      <c r="A102" s="1">
        <v>3</v>
      </c>
      <c r="B102" s="1">
        <v>2</v>
      </c>
      <c r="C102" s="1">
        <v>1</v>
      </c>
      <c r="D102" s="4">
        <v>9.2870000000000026</v>
      </c>
      <c r="E102" s="4">
        <v>2.4080000000000011E-2</v>
      </c>
      <c r="F102" s="19">
        <v>1056000</v>
      </c>
    </row>
    <row r="103" spans="1:6">
      <c r="A103" s="1">
        <v>3</v>
      </c>
      <c r="B103" s="1">
        <v>2</v>
      </c>
      <c r="C103" s="1">
        <v>2</v>
      </c>
      <c r="D103" s="4">
        <v>9.2840000000000025</v>
      </c>
      <c r="E103" s="4">
        <v>2.1140000000000009E-2</v>
      </c>
      <c r="F103" s="19">
        <v>1056000</v>
      </c>
    </row>
    <row r="104" spans="1:6">
      <c r="A104" s="1">
        <v>3</v>
      </c>
      <c r="B104" s="1">
        <v>2</v>
      </c>
      <c r="C104" s="1">
        <v>3</v>
      </c>
      <c r="D104" s="4">
        <v>9.2890000000000015</v>
      </c>
      <c r="E104" s="4">
        <v>2.563000000000001E-2</v>
      </c>
      <c r="F104" s="19">
        <v>1056000</v>
      </c>
    </row>
    <row r="105" spans="1:6">
      <c r="A105" s="1">
        <v>3</v>
      </c>
      <c r="B105" s="1">
        <v>2</v>
      </c>
      <c r="C105" s="1">
        <v>4</v>
      </c>
      <c r="D105" s="4">
        <v>9.2780000000000022</v>
      </c>
      <c r="E105" s="4">
        <v>1.4810000000000005E-2</v>
      </c>
      <c r="F105" s="19">
        <v>1056000</v>
      </c>
    </row>
    <row r="106" spans="1:6">
      <c r="A106" s="1">
        <v>3</v>
      </c>
      <c r="B106" s="1">
        <v>3</v>
      </c>
      <c r="C106" s="1">
        <v>-5</v>
      </c>
      <c r="D106" s="4">
        <v>9.4710000000000019</v>
      </c>
      <c r="E106" s="4">
        <v>-5.3170000000000029E-4</v>
      </c>
      <c r="F106" s="19">
        <v>2386000</v>
      </c>
    </row>
    <row r="107" spans="1:6">
      <c r="A107" s="1">
        <v>3</v>
      </c>
      <c r="B107" s="1">
        <v>3</v>
      </c>
      <c r="C107" s="1">
        <v>-4</v>
      </c>
      <c r="D107" s="4">
        <v>9.4750000000000014</v>
      </c>
      <c r="E107" s="4">
        <v>2.9670000000000013E-3</v>
      </c>
      <c r="F107" s="19">
        <v>2386000</v>
      </c>
    </row>
    <row r="108" spans="1:6">
      <c r="A108" s="1">
        <v>3</v>
      </c>
      <c r="B108" s="1">
        <v>3</v>
      </c>
      <c r="C108" s="1">
        <v>-3</v>
      </c>
      <c r="D108" s="4">
        <v>9.4750000000000014</v>
      </c>
      <c r="E108" s="4">
        <v>3.2700000000000012E-3</v>
      </c>
      <c r="F108" s="19">
        <v>2386000</v>
      </c>
    </row>
    <row r="109" spans="1:6">
      <c r="A109" s="1">
        <v>3</v>
      </c>
      <c r="B109" s="1">
        <v>3</v>
      </c>
      <c r="C109" s="1">
        <v>-2</v>
      </c>
      <c r="D109" s="4">
        <v>9.4730000000000025</v>
      </c>
      <c r="E109" s="4">
        <v>1.6620000000000007E-3</v>
      </c>
      <c r="F109" s="19">
        <v>2386000</v>
      </c>
    </row>
    <row r="110" spans="1:6">
      <c r="A110" s="1">
        <v>3</v>
      </c>
      <c r="B110" s="1">
        <v>3</v>
      </c>
      <c r="C110" s="1">
        <v>-1</v>
      </c>
      <c r="D110" s="4">
        <v>9.4700000000000024</v>
      </c>
      <c r="E110" s="4">
        <v>-1.3300000000000005E-3</v>
      </c>
      <c r="F110" s="19">
        <v>2386000</v>
      </c>
    </row>
    <row r="111" spans="1:6">
      <c r="A111" s="1">
        <v>3</v>
      </c>
      <c r="B111" s="1">
        <v>3</v>
      </c>
      <c r="C111" s="1">
        <v>0</v>
      </c>
      <c r="D111" s="4">
        <v>9.4720000000000031</v>
      </c>
      <c r="E111" s="4">
        <v>-6.0440000000000027E-4</v>
      </c>
      <c r="F111" s="19">
        <v>2386000</v>
      </c>
    </row>
    <row r="112" spans="1:6">
      <c r="A112" s="1">
        <v>3</v>
      </c>
      <c r="B112" s="1">
        <v>3</v>
      </c>
      <c r="C112" s="1">
        <v>1</v>
      </c>
      <c r="D112" s="4">
        <v>9.4860000000000024</v>
      </c>
      <c r="E112" s="4">
        <v>1.3520000000000006E-2</v>
      </c>
      <c r="F112" s="19">
        <v>2386000</v>
      </c>
    </row>
    <row r="113" spans="1:6">
      <c r="A113" s="1">
        <v>3</v>
      </c>
      <c r="B113" s="1">
        <v>3</v>
      </c>
      <c r="C113" s="1">
        <v>2</v>
      </c>
      <c r="D113" s="4">
        <v>9.4830000000000023</v>
      </c>
      <c r="E113" s="4">
        <v>1.0110000000000004E-2</v>
      </c>
      <c r="F113" s="19">
        <v>2386000</v>
      </c>
    </row>
    <row r="114" spans="1:6">
      <c r="A114" s="1">
        <v>3</v>
      </c>
      <c r="B114" s="1">
        <v>3</v>
      </c>
      <c r="C114" s="1">
        <v>3</v>
      </c>
      <c r="D114" s="4">
        <v>9.4860000000000024</v>
      </c>
      <c r="E114" s="4">
        <v>1.3610000000000006E-2</v>
      </c>
      <c r="F114" s="19">
        <v>2386000</v>
      </c>
    </row>
    <row r="115" spans="1:6">
      <c r="A115" s="1">
        <v>3</v>
      </c>
      <c r="B115" s="1">
        <v>3</v>
      </c>
      <c r="C115" s="1">
        <v>4</v>
      </c>
      <c r="D115" s="4">
        <v>9.4800000000000022</v>
      </c>
      <c r="E115" s="4">
        <v>7.0990000000000029E-3</v>
      </c>
      <c r="F115" s="19">
        <v>2386000</v>
      </c>
    </row>
    <row r="116" spans="1:6">
      <c r="A116" s="1">
        <v>3</v>
      </c>
      <c r="B116" s="1">
        <v>4</v>
      </c>
      <c r="C116" s="1">
        <v>-5</v>
      </c>
      <c r="D116" s="4">
        <v>9.5620000000000029</v>
      </c>
      <c r="E116" s="4">
        <v>1.0800000000000004E-2</v>
      </c>
      <c r="F116" s="19">
        <v>1219000</v>
      </c>
    </row>
    <row r="117" spans="1:6">
      <c r="A117" s="1">
        <v>3</v>
      </c>
      <c r="B117" s="1">
        <v>4</v>
      </c>
      <c r="C117" s="1">
        <v>-4</v>
      </c>
      <c r="D117" s="4">
        <v>9.5730000000000022</v>
      </c>
      <c r="E117" s="4">
        <v>2.1790000000000011E-2</v>
      </c>
      <c r="F117" s="19">
        <v>1219000</v>
      </c>
    </row>
    <row r="118" spans="1:6">
      <c r="A118" s="1">
        <v>3</v>
      </c>
      <c r="B118" s="1">
        <v>4</v>
      </c>
      <c r="C118" s="1">
        <v>-3</v>
      </c>
      <c r="D118" s="4">
        <v>9.5720000000000027</v>
      </c>
      <c r="E118" s="4">
        <v>2.088000000000001E-2</v>
      </c>
      <c r="F118" s="19">
        <v>1219000</v>
      </c>
    </row>
    <row r="119" spans="1:6">
      <c r="A119" s="1">
        <v>3</v>
      </c>
      <c r="B119" s="1">
        <v>4</v>
      </c>
      <c r="C119" s="1">
        <v>-2</v>
      </c>
      <c r="D119" s="4">
        <v>9.5740000000000016</v>
      </c>
      <c r="E119" s="4">
        <v>2.2760000000000009E-2</v>
      </c>
      <c r="F119" s="19">
        <v>1219000</v>
      </c>
    </row>
    <row r="120" spans="1:6">
      <c r="A120" s="1">
        <v>3</v>
      </c>
      <c r="B120" s="1">
        <v>4</v>
      </c>
      <c r="C120" s="1">
        <v>-1</v>
      </c>
      <c r="D120" s="4">
        <v>9.5680000000000014</v>
      </c>
      <c r="E120" s="4">
        <v>1.6610000000000007E-2</v>
      </c>
      <c r="F120" s="19">
        <v>1219000</v>
      </c>
    </row>
    <row r="121" spans="1:6">
      <c r="A121" s="1">
        <v>3</v>
      </c>
      <c r="B121" s="1">
        <v>4</v>
      </c>
      <c r="C121" s="1">
        <v>0</v>
      </c>
      <c r="D121" s="4">
        <v>9.6840000000000028</v>
      </c>
      <c r="E121" s="4">
        <v>-3.7670000000000016E-2</v>
      </c>
      <c r="F121" s="19">
        <v>1219000</v>
      </c>
    </row>
    <row r="122" spans="1:6">
      <c r="A122" s="1">
        <v>3</v>
      </c>
      <c r="B122" s="1">
        <v>4</v>
      </c>
      <c r="C122" s="1">
        <v>1</v>
      </c>
      <c r="D122" s="4">
        <v>9.7000000000000028</v>
      </c>
      <c r="E122" s="4">
        <v>-2.1760000000000009E-2</v>
      </c>
      <c r="F122" s="19">
        <v>1219000</v>
      </c>
    </row>
    <row r="123" spans="1:6">
      <c r="A123" s="1">
        <v>3</v>
      </c>
      <c r="B123" s="1">
        <v>4</v>
      </c>
      <c r="C123" s="1">
        <v>2</v>
      </c>
      <c r="D123" s="4">
        <v>9.7060000000000031</v>
      </c>
      <c r="E123" s="4">
        <v>-1.5310000000000006E-2</v>
      </c>
      <c r="F123" s="19">
        <v>1219000</v>
      </c>
    </row>
    <row r="124" spans="1:6">
      <c r="A124" s="1">
        <v>3</v>
      </c>
      <c r="B124" s="1">
        <v>4</v>
      </c>
      <c r="C124" s="1">
        <v>3</v>
      </c>
      <c r="D124" s="4">
        <v>9.7260000000000026</v>
      </c>
      <c r="E124" s="4">
        <v>3.9850000000000016E-3</v>
      </c>
      <c r="F124" s="19">
        <v>1219000</v>
      </c>
    </row>
    <row r="125" spans="1:6">
      <c r="A125" s="1">
        <v>3</v>
      </c>
      <c r="B125" s="1">
        <v>4</v>
      </c>
      <c r="C125" s="1">
        <v>4</v>
      </c>
      <c r="D125" s="4">
        <v>9.7160000000000029</v>
      </c>
      <c r="E125" s="4">
        <v>-6.0680000000000022E-3</v>
      </c>
      <c r="F125" s="19">
        <v>1219000</v>
      </c>
    </row>
    <row r="126" spans="1:6">
      <c r="A126" s="1">
        <v>4</v>
      </c>
      <c r="B126" s="1">
        <v>1</v>
      </c>
      <c r="C126" s="1">
        <v>-5</v>
      </c>
      <c r="D126" s="4">
        <v>9.6600000000000019</v>
      </c>
      <c r="E126" s="4">
        <v>1.5310000000000006E-2</v>
      </c>
      <c r="F126" s="19">
        <v>181000</v>
      </c>
    </row>
    <row r="127" spans="1:6">
      <c r="A127" s="1">
        <v>4</v>
      </c>
      <c r="B127" s="1">
        <v>1</v>
      </c>
      <c r="C127" s="1">
        <v>-4</v>
      </c>
      <c r="D127" s="4">
        <v>9.6620000000000026</v>
      </c>
      <c r="E127" s="4">
        <v>1.7390000000000006E-2</v>
      </c>
      <c r="F127" s="19">
        <v>181000</v>
      </c>
    </row>
    <row r="128" spans="1:6">
      <c r="A128" s="1">
        <v>4</v>
      </c>
      <c r="B128" s="1">
        <v>1</v>
      </c>
      <c r="C128" s="1">
        <v>-3</v>
      </c>
      <c r="D128" s="4">
        <v>9.647000000000002</v>
      </c>
      <c r="E128" s="4">
        <v>2.3280000000000011E-3</v>
      </c>
      <c r="F128" s="19">
        <v>181000</v>
      </c>
    </row>
    <row r="129" spans="1:6">
      <c r="A129" s="1">
        <v>4</v>
      </c>
      <c r="B129" s="1">
        <v>1</v>
      </c>
      <c r="C129" s="1">
        <v>-2</v>
      </c>
      <c r="D129" s="4">
        <v>9.6440000000000019</v>
      </c>
      <c r="E129" s="4">
        <v>-3.5270000000000017E-4</v>
      </c>
      <c r="F129" s="19">
        <v>181000</v>
      </c>
    </row>
    <row r="130" spans="1:6">
      <c r="A130" s="1">
        <v>4</v>
      </c>
      <c r="B130" s="1">
        <v>1</v>
      </c>
      <c r="C130" s="1">
        <v>-1</v>
      </c>
      <c r="D130" s="4">
        <v>9.6190000000000015</v>
      </c>
      <c r="E130" s="4">
        <v>-2.5410000000000009E-2</v>
      </c>
      <c r="F130" s="19">
        <v>181000</v>
      </c>
    </row>
    <row r="131" spans="1:6">
      <c r="A131" s="1">
        <v>4</v>
      </c>
      <c r="B131" s="1">
        <v>1</v>
      </c>
      <c r="C131" s="1">
        <v>0</v>
      </c>
      <c r="D131" s="4">
        <v>9.0590000000000028</v>
      </c>
      <c r="E131" s="4">
        <v>-3.9440000000000017E-2</v>
      </c>
      <c r="F131" s="19">
        <v>181000</v>
      </c>
    </row>
    <row r="132" spans="1:6">
      <c r="A132" s="1">
        <v>4</v>
      </c>
      <c r="B132" s="1">
        <v>1</v>
      </c>
      <c r="C132" s="1">
        <v>1</v>
      </c>
      <c r="D132" s="4">
        <v>9.0820000000000025</v>
      </c>
      <c r="E132" s="4">
        <v>-1.6170000000000007E-2</v>
      </c>
      <c r="F132" s="19">
        <v>181000</v>
      </c>
    </row>
    <row r="133" spans="1:6">
      <c r="A133" s="1">
        <v>4</v>
      </c>
      <c r="B133" s="1">
        <v>1</v>
      </c>
      <c r="C133" s="1">
        <v>2</v>
      </c>
      <c r="D133" s="4">
        <v>9.0860000000000021</v>
      </c>
      <c r="E133" s="4">
        <v>-1.2570000000000005E-2</v>
      </c>
      <c r="F133" s="19">
        <v>181000</v>
      </c>
    </row>
    <row r="134" spans="1:6">
      <c r="A134" s="1">
        <v>4</v>
      </c>
      <c r="B134" s="1">
        <v>1</v>
      </c>
      <c r="C134" s="1">
        <v>3</v>
      </c>
      <c r="D134" s="4">
        <v>9.0930000000000017</v>
      </c>
      <c r="E134" s="4">
        <v>-5.0230000000000023E-3</v>
      </c>
      <c r="F134" s="19">
        <v>181000</v>
      </c>
    </row>
    <row r="135" spans="1:6">
      <c r="A135" s="1">
        <v>4</v>
      </c>
      <c r="B135" s="1">
        <v>1</v>
      </c>
      <c r="C135" s="1">
        <v>4</v>
      </c>
      <c r="D135" s="4">
        <v>9.0820000000000025</v>
      </c>
      <c r="E135" s="4">
        <v>-1.6730000000000009E-2</v>
      </c>
      <c r="F135" s="19">
        <v>181000</v>
      </c>
    </row>
    <row r="136" spans="1:6">
      <c r="A136" s="1">
        <v>4</v>
      </c>
      <c r="B136" s="1">
        <v>2</v>
      </c>
      <c r="C136" s="1">
        <v>-5</v>
      </c>
      <c r="D136" s="4">
        <v>9.6110000000000024</v>
      </c>
      <c r="E136" s="4">
        <v>-1.5740000000000007E-2</v>
      </c>
      <c r="F136" s="19">
        <v>310000</v>
      </c>
    </row>
    <row r="137" spans="1:6">
      <c r="A137" s="1">
        <v>4</v>
      </c>
      <c r="B137" s="1">
        <v>2</v>
      </c>
      <c r="C137" s="1">
        <v>-4</v>
      </c>
      <c r="D137" s="4">
        <v>9.6140000000000025</v>
      </c>
      <c r="E137" s="4">
        <v>-1.2320000000000005E-2</v>
      </c>
      <c r="F137" s="19">
        <v>310000</v>
      </c>
    </row>
    <row r="138" spans="1:6">
      <c r="A138" s="1">
        <v>4</v>
      </c>
      <c r="B138" s="1">
        <v>2</v>
      </c>
      <c r="C138" s="1">
        <v>-3</v>
      </c>
      <c r="D138" s="4">
        <v>9.6020000000000021</v>
      </c>
      <c r="E138" s="4">
        <v>-2.4240000000000012E-2</v>
      </c>
      <c r="F138" s="19">
        <v>310000</v>
      </c>
    </row>
    <row r="139" spans="1:6">
      <c r="A139" s="1">
        <v>4</v>
      </c>
      <c r="B139" s="1">
        <v>2</v>
      </c>
      <c r="C139" s="1">
        <v>-2</v>
      </c>
      <c r="D139" s="4">
        <v>9.6000000000000014</v>
      </c>
      <c r="E139" s="4">
        <v>-2.606000000000001E-2</v>
      </c>
      <c r="F139" s="19">
        <v>310000</v>
      </c>
    </row>
    <row r="140" spans="1:6">
      <c r="A140" s="1">
        <v>4</v>
      </c>
      <c r="B140" s="1">
        <v>2</v>
      </c>
      <c r="C140" s="1">
        <v>-1</v>
      </c>
      <c r="D140" s="4">
        <v>9.5840000000000014</v>
      </c>
      <c r="E140" s="4">
        <v>-4.2580000000000021E-2</v>
      </c>
      <c r="F140" s="19">
        <v>310000</v>
      </c>
    </row>
    <row r="141" spans="1:6">
      <c r="A141" s="1">
        <v>4</v>
      </c>
      <c r="B141" s="1">
        <v>2</v>
      </c>
      <c r="C141" s="1">
        <v>0</v>
      </c>
      <c r="D141" s="4">
        <v>9.3100000000000023</v>
      </c>
      <c r="E141" s="4">
        <v>-4.9260000000000016E-3</v>
      </c>
      <c r="F141" s="19">
        <v>310000</v>
      </c>
    </row>
    <row r="142" spans="1:6">
      <c r="A142" s="1">
        <v>4</v>
      </c>
      <c r="B142" s="1">
        <v>2</v>
      </c>
      <c r="C142" s="1">
        <v>1</v>
      </c>
      <c r="D142" s="4">
        <v>9.3320000000000025</v>
      </c>
      <c r="E142" s="4">
        <v>1.6240000000000008E-2</v>
      </c>
      <c r="F142" s="19">
        <v>310000</v>
      </c>
    </row>
    <row r="143" spans="1:6">
      <c r="A143" s="1">
        <v>4</v>
      </c>
      <c r="B143" s="1">
        <v>2</v>
      </c>
      <c r="C143" s="1">
        <v>2</v>
      </c>
      <c r="D143" s="4">
        <v>9.3350000000000026</v>
      </c>
      <c r="E143" s="4">
        <v>1.9760000000000007E-2</v>
      </c>
      <c r="F143" s="19">
        <v>310000</v>
      </c>
    </row>
    <row r="144" spans="1:6">
      <c r="A144" s="1">
        <v>4</v>
      </c>
      <c r="B144" s="1">
        <v>2</v>
      </c>
      <c r="C144" s="1">
        <v>3</v>
      </c>
      <c r="D144" s="4">
        <v>9.344000000000003</v>
      </c>
      <c r="E144" s="4">
        <v>2.8590000000000011E-2</v>
      </c>
      <c r="F144" s="19">
        <v>310000</v>
      </c>
    </row>
    <row r="145" spans="1:6">
      <c r="A145" s="1">
        <v>4</v>
      </c>
      <c r="B145" s="1">
        <v>2</v>
      </c>
      <c r="C145" s="1">
        <v>4</v>
      </c>
      <c r="D145" s="4">
        <v>9.3320000000000025</v>
      </c>
      <c r="E145" s="4">
        <v>1.7070000000000009E-2</v>
      </c>
      <c r="F145" s="19">
        <v>310000</v>
      </c>
    </row>
    <row r="146" spans="1:6">
      <c r="A146" s="1">
        <v>4</v>
      </c>
      <c r="B146" s="1">
        <v>3</v>
      </c>
      <c r="C146" s="1">
        <v>-5</v>
      </c>
      <c r="D146" s="4">
        <v>9.6760000000000019</v>
      </c>
      <c r="E146" s="4">
        <v>-1.7380000000000007E-2</v>
      </c>
      <c r="F146" s="19">
        <v>918000</v>
      </c>
    </row>
    <row r="147" spans="1:6">
      <c r="A147" s="1">
        <v>4</v>
      </c>
      <c r="B147" s="1">
        <v>3</v>
      </c>
      <c r="C147" s="1">
        <v>-4</v>
      </c>
      <c r="D147" s="4">
        <v>9.679000000000002</v>
      </c>
      <c r="E147" s="4">
        <v>-1.5150000000000007E-2</v>
      </c>
      <c r="F147" s="19">
        <v>918000</v>
      </c>
    </row>
    <row r="148" spans="1:6">
      <c r="A148" s="1">
        <v>4</v>
      </c>
      <c r="B148" s="1">
        <v>3</v>
      </c>
      <c r="C148" s="1">
        <v>-3</v>
      </c>
      <c r="D148" s="4">
        <v>9.6730000000000018</v>
      </c>
      <c r="E148" s="4">
        <v>-2.0490000000000008E-2</v>
      </c>
      <c r="F148" s="19">
        <v>918000</v>
      </c>
    </row>
    <row r="149" spans="1:6">
      <c r="A149" s="1">
        <v>4</v>
      </c>
      <c r="B149" s="1">
        <v>3</v>
      </c>
      <c r="C149" s="1">
        <v>-2</v>
      </c>
      <c r="D149" s="4">
        <v>9.6720000000000024</v>
      </c>
      <c r="E149" s="4">
        <v>-2.180000000000001E-2</v>
      </c>
      <c r="F149" s="19">
        <v>918000</v>
      </c>
    </row>
    <row r="150" spans="1:6">
      <c r="A150" s="1">
        <v>4</v>
      </c>
      <c r="B150" s="1">
        <v>3</v>
      </c>
      <c r="C150" s="1">
        <v>-1</v>
      </c>
      <c r="D150" s="4">
        <v>9.6650000000000027</v>
      </c>
      <c r="E150" s="4">
        <v>-2.9030000000000011E-2</v>
      </c>
      <c r="F150" s="19">
        <v>918000</v>
      </c>
    </row>
    <row r="151" spans="1:6">
      <c r="A151" s="1">
        <v>4</v>
      </c>
      <c r="B151" s="1">
        <v>3</v>
      </c>
      <c r="C151" s="1">
        <v>0</v>
      </c>
      <c r="D151" s="4">
        <v>9.5580000000000016</v>
      </c>
      <c r="E151" s="4">
        <v>1.4010000000000005E-2</v>
      </c>
      <c r="F151" s="19">
        <v>918000</v>
      </c>
    </row>
    <row r="152" spans="1:6">
      <c r="A152" s="1">
        <v>4</v>
      </c>
      <c r="B152" s="1">
        <v>3</v>
      </c>
      <c r="C152" s="1">
        <v>1</v>
      </c>
      <c r="D152" s="4">
        <v>9.5730000000000022</v>
      </c>
      <c r="E152" s="4">
        <v>2.9080000000000012E-2</v>
      </c>
      <c r="F152" s="19">
        <v>918000</v>
      </c>
    </row>
    <row r="153" spans="1:6">
      <c r="A153" s="1">
        <v>4</v>
      </c>
      <c r="B153" s="1">
        <v>3</v>
      </c>
      <c r="C153" s="1">
        <v>2</v>
      </c>
      <c r="D153" s="4">
        <v>9.5710000000000015</v>
      </c>
      <c r="E153" s="4">
        <v>2.7280000000000013E-2</v>
      </c>
      <c r="F153" s="19">
        <v>918000</v>
      </c>
    </row>
    <row r="154" spans="1:6">
      <c r="A154" s="1">
        <v>4</v>
      </c>
      <c r="B154" s="1">
        <v>3</v>
      </c>
      <c r="C154" s="1">
        <v>3</v>
      </c>
      <c r="D154" s="4">
        <v>9.5800000000000018</v>
      </c>
      <c r="E154" s="4">
        <v>3.6600000000000014E-2</v>
      </c>
      <c r="F154" s="19">
        <v>918000</v>
      </c>
    </row>
    <row r="155" spans="1:6">
      <c r="A155" s="1">
        <v>4</v>
      </c>
      <c r="B155" s="1">
        <v>3</v>
      </c>
      <c r="C155" s="1">
        <v>4</v>
      </c>
      <c r="D155" s="4">
        <v>9.5670000000000019</v>
      </c>
      <c r="E155" s="4">
        <v>2.3650000000000011E-2</v>
      </c>
      <c r="F155" s="19">
        <v>918000</v>
      </c>
    </row>
    <row r="156" spans="1:6">
      <c r="A156" s="1">
        <v>4</v>
      </c>
      <c r="B156" s="1">
        <v>4</v>
      </c>
      <c r="C156" s="1">
        <v>-5</v>
      </c>
      <c r="D156" s="4">
        <v>9.9340000000000028</v>
      </c>
      <c r="E156" s="4">
        <v>-2.981000000000001E-3</v>
      </c>
      <c r="F156" s="19">
        <v>3846000</v>
      </c>
    </row>
    <row r="157" spans="1:6">
      <c r="A157" s="1">
        <v>4</v>
      </c>
      <c r="B157" s="1">
        <v>4</v>
      </c>
      <c r="C157" s="1">
        <v>-4</v>
      </c>
      <c r="D157" s="4">
        <v>9.9310000000000027</v>
      </c>
      <c r="E157" s="4">
        <v>-6.1500000000000027E-3</v>
      </c>
      <c r="F157" s="19">
        <v>3846000</v>
      </c>
    </row>
    <row r="158" spans="1:6">
      <c r="A158" s="1">
        <v>4</v>
      </c>
      <c r="B158" s="1">
        <v>4</v>
      </c>
      <c r="C158" s="1">
        <v>-3</v>
      </c>
      <c r="D158" s="4">
        <v>9.953000000000003</v>
      </c>
      <c r="E158" s="4">
        <v>1.6240000000000008E-2</v>
      </c>
      <c r="F158" s="19">
        <v>3846000</v>
      </c>
    </row>
    <row r="159" spans="1:6">
      <c r="A159" s="1">
        <v>4</v>
      </c>
      <c r="B159" s="1">
        <v>4</v>
      </c>
      <c r="C159" s="1">
        <v>-2</v>
      </c>
      <c r="D159" s="4">
        <v>9.9380000000000024</v>
      </c>
      <c r="E159" s="4">
        <v>2.8260000000000015E-4</v>
      </c>
      <c r="F159" s="19">
        <v>3846000</v>
      </c>
    </row>
    <row r="160" spans="1:6">
      <c r="A160" s="1">
        <v>4</v>
      </c>
      <c r="B160" s="1">
        <v>4</v>
      </c>
      <c r="C160" s="1">
        <v>-1</v>
      </c>
      <c r="D160" s="4">
        <v>9.9450000000000021</v>
      </c>
      <c r="E160" s="4">
        <v>7.4420000000000024E-3</v>
      </c>
      <c r="F160" s="19">
        <v>3846000</v>
      </c>
    </row>
    <row r="161" spans="1:6">
      <c r="A161" s="1">
        <v>4</v>
      </c>
      <c r="B161" s="1">
        <v>4</v>
      </c>
      <c r="C161" s="1">
        <v>0</v>
      </c>
      <c r="D161" s="4">
        <v>9.9420000000000019</v>
      </c>
      <c r="E161" s="4">
        <v>-9.6520000000000043E-3</v>
      </c>
      <c r="F161" s="19">
        <v>3846000</v>
      </c>
    </row>
    <row r="162" spans="1:6">
      <c r="A162" s="1">
        <v>4</v>
      </c>
      <c r="B162" s="1">
        <v>4</v>
      </c>
      <c r="C162" s="1">
        <v>1</v>
      </c>
      <c r="D162" s="4">
        <v>9.958000000000002</v>
      </c>
      <c r="E162" s="4">
        <v>6.5260000000000023E-3</v>
      </c>
      <c r="F162" s="19">
        <v>3846000</v>
      </c>
    </row>
    <row r="163" spans="1:6">
      <c r="A163" s="1">
        <v>4</v>
      </c>
      <c r="B163" s="1">
        <v>4</v>
      </c>
      <c r="C163" s="1">
        <v>2</v>
      </c>
      <c r="D163" s="4">
        <v>9.9600000000000026</v>
      </c>
      <c r="E163" s="4">
        <v>8.0970000000000035E-3</v>
      </c>
      <c r="F163" s="19">
        <v>3846000</v>
      </c>
    </row>
    <row r="164" spans="1:6">
      <c r="A164" s="1">
        <v>4</v>
      </c>
      <c r="B164" s="1">
        <v>4</v>
      </c>
      <c r="C164" s="1">
        <v>3</v>
      </c>
      <c r="D164" s="4">
        <v>9.9910000000000032</v>
      </c>
      <c r="E164" s="4">
        <v>3.9590000000000014E-2</v>
      </c>
      <c r="F164" s="19">
        <v>3846000</v>
      </c>
    </row>
    <row r="165" spans="1:6">
      <c r="A165" s="1">
        <v>4</v>
      </c>
      <c r="B165" s="1">
        <v>4</v>
      </c>
      <c r="C165" s="1">
        <v>4</v>
      </c>
      <c r="D165" s="4">
        <v>9.958000000000002</v>
      </c>
      <c r="E165" s="4">
        <v>6.3770000000000025E-3</v>
      </c>
      <c r="F165" s="19">
        <v>3846000</v>
      </c>
    </row>
  </sheetData>
  <mergeCells count="1">
    <mergeCell ref="D4:E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06"/>
  <sheetViews>
    <sheetView workbookViewId="0"/>
  </sheetViews>
  <sheetFormatPr baseColWidth="10" defaultColWidth="8.83203125" defaultRowHeight="15"/>
  <cols>
    <col min="1" max="5" width="12.6640625" customWidth="1"/>
    <col min="6" max="6" width="13.33203125" customWidth="1"/>
    <col min="7" max="7" width="12.6640625" customWidth="1"/>
  </cols>
  <sheetData>
    <row r="1" spans="1:9">
      <c r="A1" s="16" t="s">
        <v>208</v>
      </c>
      <c r="E1" s="9"/>
      <c r="H1" s="9"/>
    </row>
    <row r="3" spans="1:9">
      <c r="A3" s="9"/>
    </row>
    <row r="5" spans="1:9">
      <c r="C5" s="59" t="s">
        <v>181</v>
      </c>
      <c r="D5" s="59"/>
      <c r="E5" s="59"/>
    </row>
    <row r="6" spans="1:9" ht="32">
      <c r="A6" s="12" t="s">
        <v>188</v>
      </c>
      <c r="B6" s="12" t="s">
        <v>189</v>
      </c>
      <c r="C6" s="12" t="s">
        <v>190</v>
      </c>
      <c r="D6" s="12" t="s">
        <v>191</v>
      </c>
      <c r="E6" s="14" t="s">
        <v>202</v>
      </c>
      <c r="F6" s="12" t="s">
        <v>186</v>
      </c>
    </row>
    <row r="7" spans="1:9">
      <c r="A7" s="4">
        <v>1</v>
      </c>
      <c r="B7" s="4">
        <v>1</v>
      </c>
      <c r="C7" s="4">
        <v>-1.4310000000000007E-2</v>
      </c>
      <c r="D7" s="4">
        <v>8.578000000000004E-3</v>
      </c>
      <c r="E7" s="4">
        <v>-2.2890000000000011E-2</v>
      </c>
      <c r="F7" s="19">
        <v>205000</v>
      </c>
      <c r="G7" s="1"/>
    </row>
    <row r="8" spans="1:9">
      <c r="A8" s="4">
        <v>1</v>
      </c>
      <c r="B8" s="4">
        <v>2</v>
      </c>
      <c r="C8" s="4">
        <v>7.4770000000000031E-2</v>
      </c>
      <c r="D8" s="4">
        <v>-4.761000000000002E-2</v>
      </c>
      <c r="E8" s="4">
        <v>0.12240000000000004</v>
      </c>
      <c r="F8" s="19">
        <v>82000</v>
      </c>
      <c r="G8" s="1"/>
      <c r="I8" s="13"/>
    </row>
    <row r="9" spans="1:9">
      <c r="A9" s="4">
        <v>1</v>
      </c>
      <c r="B9" s="4">
        <v>3</v>
      </c>
      <c r="C9" s="4">
        <v>0.11580000000000004</v>
      </c>
      <c r="D9" s="4">
        <v>-6.8460000000000035E-2</v>
      </c>
      <c r="E9" s="4">
        <v>0.18430000000000005</v>
      </c>
      <c r="F9" s="19">
        <v>50500</v>
      </c>
      <c r="G9" s="1"/>
    </row>
    <row r="10" spans="1:9">
      <c r="A10" s="4">
        <v>1</v>
      </c>
      <c r="B10" s="4">
        <v>4</v>
      </c>
      <c r="C10" s="4">
        <v>0.15940000000000004</v>
      </c>
      <c r="D10" s="4">
        <v>-6.8480000000000027E-2</v>
      </c>
      <c r="E10" s="4">
        <v>0.22780000000000009</v>
      </c>
      <c r="F10" s="19">
        <v>40000</v>
      </c>
      <c r="G10" s="1"/>
    </row>
    <row r="11" spans="1:9">
      <c r="A11" s="4">
        <v>1</v>
      </c>
      <c r="B11" s="4">
        <v>5</v>
      </c>
      <c r="C11" s="4">
        <v>0.18640000000000007</v>
      </c>
      <c r="D11" s="4">
        <v>-7.5890000000000027E-2</v>
      </c>
      <c r="E11" s="4">
        <v>0.26230000000000009</v>
      </c>
      <c r="F11" s="19">
        <v>34500</v>
      </c>
      <c r="G11" s="1"/>
    </row>
    <row r="12" spans="1:9">
      <c r="A12" s="4">
        <v>1</v>
      </c>
      <c r="B12" s="4">
        <v>6</v>
      </c>
      <c r="C12" s="4">
        <v>0.21600000000000008</v>
      </c>
      <c r="D12" s="4">
        <v>-7.8680000000000028E-2</v>
      </c>
      <c r="E12" s="4">
        <v>0.29470000000000007</v>
      </c>
      <c r="F12" s="19">
        <v>30500</v>
      </c>
      <c r="G12" s="1"/>
    </row>
    <row r="13" spans="1:9">
      <c r="A13" s="4">
        <v>1</v>
      </c>
      <c r="B13" s="4">
        <v>7</v>
      </c>
      <c r="C13" s="4">
        <v>0.24820000000000009</v>
      </c>
      <c r="D13" s="4">
        <v>-7.6910000000000034E-2</v>
      </c>
      <c r="E13" s="4">
        <v>0.32510000000000011</v>
      </c>
      <c r="F13" s="19">
        <v>28500</v>
      </c>
      <c r="G13" s="1"/>
    </row>
    <row r="14" spans="1:9">
      <c r="A14" s="4">
        <v>1</v>
      </c>
      <c r="B14" s="4">
        <v>8</v>
      </c>
      <c r="C14" s="4">
        <v>0.28040000000000009</v>
      </c>
      <c r="D14" s="4">
        <v>-7.1870000000000031E-2</v>
      </c>
      <c r="E14" s="4">
        <v>0.35230000000000011</v>
      </c>
      <c r="F14" s="19">
        <v>26500</v>
      </c>
      <c r="G14" s="1"/>
    </row>
    <row r="15" spans="1:9">
      <c r="A15" s="4">
        <v>1</v>
      </c>
      <c r="B15" s="4">
        <v>9</v>
      </c>
      <c r="C15" s="4">
        <v>0.3020000000000001</v>
      </c>
      <c r="D15" s="4">
        <v>-7.9660000000000036E-2</v>
      </c>
      <c r="E15" s="4">
        <v>0.38170000000000009</v>
      </c>
      <c r="F15" s="19">
        <v>25500</v>
      </c>
      <c r="G15" s="1"/>
    </row>
    <row r="16" spans="1:9">
      <c r="A16" s="4">
        <v>1</v>
      </c>
      <c r="B16" s="4">
        <v>10</v>
      </c>
      <c r="C16" s="4">
        <v>0.32910000000000011</v>
      </c>
      <c r="D16" s="4">
        <v>-8.2650000000000029E-2</v>
      </c>
      <c r="E16" s="4">
        <v>0.41180000000000011</v>
      </c>
      <c r="F16" s="19">
        <v>23000</v>
      </c>
      <c r="G16" s="1"/>
    </row>
    <row r="17" spans="1:7">
      <c r="A17" s="4">
        <v>1</v>
      </c>
      <c r="B17" s="4">
        <v>11</v>
      </c>
      <c r="C17" s="4">
        <v>0.34660000000000013</v>
      </c>
      <c r="D17" s="4">
        <v>-8.8580000000000034E-2</v>
      </c>
      <c r="E17" s="4">
        <v>0.43520000000000014</v>
      </c>
      <c r="F17" s="19">
        <v>22500</v>
      </c>
      <c r="G17" s="1"/>
    </row>
    <row r="18" spans="1:7">
      <c r="A18" s="4">
        <v>1</v>
      </c>
      <c r="B18" s="4">
        <v>12</v>
      </c>
      <c r="C18" s="4">
        <v>0.37690000000000012</v>
      </c>
      <c r="D18" s="4">
        <v>-9.3080000000000038E-2</v>
      </c>
      <c r="E18" s="4">
        <v>0.46990000000000015</v>
      </c>
      <c r="F18" s="19">
        <v>20500</v>
      </c>
      <c r="G18" s="1"/>
    </row>
    <row r="19" spans="1:7">
      <c r="A19" s="4">
        <v>1</v>
      </c>
      <c r="B19" s="4">
        <v>13</v>
      </c>
      <c r="C19" s="4">
        <v>0.41100000000000014</v>
      </c>
      <c r="D19" s="4">
        <v>-9.2470000000000038E-2</v>
      </c>
      <c r="E19" s="4">
        <v>0.50350000000000017</v>
      </c>
      <c r="F19" s="19">
        <v>18500</v>
      </c>
      <c r="G19" s="1"/>
    </row>
    <row r="20" spans="1:7">
      <c r="A20" s="4">
        <v>1</v>
      </c>
      <c r="B20" s="4">
        <v>14</v>
      </c>
      <c r="C20" s="4">
        <v>0.43530000000000013</v>
      </c>
      <c r="D20" s="4">
        <v>-9.7210000000000046E-2</v>
      </c>
      <c r="E20" s="4">
        <v>0.5325000000000002</v>
      </c>
      <c r="F20" s="19">
        <v>17000</v>
      </c>
      <c r="G20" s="1"/>
    </row>
    <row r="21" spans="1:7">
      <c r="A21" s="4">
        <v>1</v>
      </c>
      <c r="B21" s="4">
        <v>15</v>
      </c>
      <c r="C21" s="4">
        <v>0.47340000000000015</v>
      </c>
      <c r="D21" s="4">
        <v>-9.7630000000000036E-2</v>
      </c>
      <c r="E21" s="4">
        <v>0.57110000000000016</v>
      </c>
      <c r="F21" s="19">
        <v>15000</v>
      </c>
      <c r="G21" s="1"/>
    </row>
    <row r="22" spans="1:7">
      <c r="A22" s="4">
        <v>1</v>
      </c>
      <c r="B22" s="4">
        <v>16</v>
      </c>
      <c r="C22" s="4">
        <v>0.51660000000000017</v>
      </c>
      <c r="D22" s="4">
        <v>-9.7490000000000035E-2</v>
      </c>
      <c r="E22" s="4">
        <v>0.61400000000000021</v>
      </c>
      <c r="F22" s="19">
        <v>14000</v>
      </c>
      <c r="G22" s="1"/>
    </row>
    <row r="23" spans="1:7">
      <c r="A23" s="4">
        <v>1</v>
      </c>
      <c r="B23" s="4">
        <v>17</v>
      </c>
      <c r="C23" s="4">
        <v>0.5637000000000002</v>
      </c>
      <c r="D23" s="4">
        <v>-9.8420000000000035E-2</v>
      </c>
      <c r="E23" s="4">
        <v>0.66210000000000024</v>
      </c>
      <c r="F23" s="19">
        <v>12000</v>
      </c>
      <c r="G23" s="1"/>
    </row>
    <row r="24" spans="1:7">
      <c r="A24" s="4">
        <v>1</v>
      </c>
      <c r="B24" s="4">
        <v>18</v>
      </c>
      <c r="C24" s="4">
        <v>0.62760000000000016</v>
      </c>
      <c r="D24" s="4">
        <v>-9.2330000000000037E-2</v>
      </c>
      <c r="E24" s="4">
        <v>0.71990000000000021</v>
      </c>
      <c r="F24" s="19">
        <v>10000</v>
      </c>
      <c r="G24" s="1"/>
    </row>
    <row r="25" spans="1:7">
      <c r="A25" s="4">
        <v>1</v>
      </c>
      <c r="B25" s="4">
        <v>19</v>
      </c>
      <c r="C25" s="4">
        <v>0.71430000000000027</v>
      </c>
      <c r="D25" s="4">
        <v>-8.8110000000000036E-2</v>
      </c>
      <c r="E25" s="4">
        <v>0.80240000000000022</v>
      </c>
      <c r="F25" s="19">
        <v>9000</v>
      </c>
      <c r="G25" s="1"/>
    </row>
    <row r="26" spans="1:7">
      <c r="A26" s="4">
        <v>1</v>
      </c>
      <c r="B26" s="4">
        <v>20</v>
      </c>
      <c r="C26" s="4">
        <v>0.95460000000000034</v>
      </c>
      <c r="D26" s="4">
        <v>-6.3090000000000021E-2</v>
      </c>
      <c r="E26" s="4">
        <v>1.0180000000000002</v>
      </c>
      <c r="F26" s="19">
        <v>8600</v>
      </c>
      <c r="G26" s="1"/>
    </row>
    <row r="27" spans="1:7">
      <c r="A27" s="4">
        <v>2</v>
      </c>
      <c r="B27" s="4">
        <v>1</v>
      </c>
      <c r="C27" s="4">
        <v>-9.5060000000000033E-2</v>
      </c>
      <c r="D27" s="4">
        <v>2.9340000000000012E-2</v>
      </c>
      <c r="E27" s="4">
        <v>-0.12440000000000004</v>
      </c>
      <c r="F27" s="19">
        <v>123000</v>
      </c>
      <c r="G27" s="1"/>
    </row>
    <row r="28" spans="1:7">
      <c r="A28" s="4">
        <v>2</v>
      </c>
      <c r="B28" s="4">
        <v>2</v>
      </c>
      <c r="C28" s="4">
        <v>-1.2510000000000005E-2</v>
      </c>
      <c r="D28" s="4">
        <v>-9.225000000000004E-3</v>
      </c>
      <c r="E28" s="4">
        <v>-3.2860000000000012E-3</v>
      </c>
      <c r="F28" s="19">
        <v>148000</v>
      </c>
      <c r="G28" s="1"/>
    </row>
    <row r="29" spans="1:7">
      <c r="A29" s="4">
        <v>2</v>
      </c>
      <c r="B29" s="4">
        <v>3</v>
      </c>
      <c r="C29" s="4">
        <v>8.1500000000000027E-3</v>
      </c>
      <c r="D29" s="4">
        <v>-3.9420000000000018E-2</v>
      </c>
      <c r="E29" s="4">
        <v>4.7570000000000022E-2</v>
      </c>
      <c r="F29" s="19">
        <v>97500</v>
      </c>
      <c r="G29" s="1"/>
    </row>
    <row r="30" spans="1:7">
      <c r="A30" s="4">
        <v>2</v>
      </c>
      <c r="B30" s="4">
        <v>4</v>
      </c>
      <c r="C30" s="4">
        <v>4.3820000000000019E-2</v>
      </c>
      <c r="D30" s="4">
        <v>-4.4530000000000021E-2</v>
      </c>
      <c r="E30" s="4">
        <v>8.835000000000004E-2</v>
      </c>
      <c r="F30" s="19">
        <v>65000</v>
      </c>
      <c r="G30" s="1"/>
    </row>
    <row r="31" spans="1:7">
      <c r="A31" s="4">
        <v>2</v>
      </c>
      <c r="B31" s="4">
        <v>5</v>
      </c>
      <c r="C31" s="4">
        <v>6.8730000000000027E-2</v>
      </c>
      <c r="D31" s="4">
        <v>-5.2020000000000025E-2</v>
      </c>
      <c r="E31" s="4">
        <v>0.12080000000000003</v>
      </c>
      <c r="F31" s="19">
        <v>52000</v>
      </c>
      <c r="G31" s="1"/>
    </row>
    <row r="32" spans="1:7">
      <c r="A32" s="4">
        <v>2</v>
      </c>
      <c r="B32" s="4">
        <v>6</v>
      </c>
      <c r="C32" s="4">
        <v>9.3050000000000035E-2</v>
      </c>
      <c r="D32" s="4">
        <v>-5.6630000000000021E-2</v>
      </c>
      <c r="E32" s="4">
        <v>0.14970000000000006</v>
      </c>
      <c r="F32" s="19">
        <v>46000</v>
      </c>
      <c r="G32" s="1"/>
    </row>
    <row r="33" spans="1:7">
      <c r="A33" s="4">
        <v>2</v>
      </c>
      <c r="B33" s="4">
        <v>7</v>
      </c>
      <c r="C33" s="4">
        <v>0.11780000000000004</v>
      </c>
      <c r="D33" s="4">
        <v>-5.8220000000000022E-2</v>
      </c>
      <c r="E33" s="4">
        <v>0.17600000000000005</v>
      </c>
      <c r="F33" s="19">
        <v>40500</v>
      </c>
      <c r="G33" s="1"/>
    </row>
    <row r="34" spans="1:7">
      <c r="A34" s="4">
        <v>2</v>
      </c>
      <c r="B34" s="4">
        <v>8</v>
      </c>
      <c r="C34" s="4">
        <v>0.14720000000000005</v>
      </c>
      <c r="D34" s="4">
        <v>-5.6350000000000025E-2</v>
      </c>
      <c r="E34" s="4">
        <v>0.20350000000000007</v>
      </c>
      <c r="F34" s="19">
        <v>39500</v>
      </c>
      <c r="G34" s="1"/>
    </row>
    <row r="35" spans="1:7">
      <c r="A35" s="4">
        <v>2</v>
      </c>
      <c r="B35" s="4">
        <v>9</v>
      </c>
      <c r="C35" s="4">
        <v>0.16780000000000006</v>
      </c>
      <c r="D35" s="4">
        <v>-6.2990000000000032E-2</v>
      </c>
      <c r="E35" s="4">
        <v>0.23080000000000006</v>
      </c>
      <c r="F35" s="19">
        <v>35500</v>
      </c>
      <c r="G35" s="1"/>
    </row>
    <row r="36" spans="1:7">
      <c r="A36" s="4">
        <v>2</v>
      </c>
      <c r="B36" s="4">
        <v>10</v>
      </c>
      <c r="C36" s="4">
        <v>0.17320000000000005</v>
      </c>
      <c r="D36" s="4">
        <v>-8.1380000000000036E-2</v>
      </c>
      <c r="E36" s="4">
        <v>0.2546000000000001</v>
      </c>
      <c r="F36" s="19">
        <v>30500</v>
      </c>
      <c r="G36" s="1"/>
    </row>
    <row r="37" spans="1:7">
      <c r="A37" s="4">
        <v>2</v>
      </c>
      <c r="B37" s="4">
        <v>11</v>
      </c>
      <c r="C37" s="4">
        <v>0.19800000000000006</v>
      </c>
      <c r="D37" s="4">
        <v>-8.2460000000000033E-2</v>
      </c>
      <c r="E37" s="4">
        <v>0.28050000000000008</v>
      </c>
      <c r="F37" s="19">
        <v>27500</v>
      </c>
      <c r="G37" s="1"/>
    </row>
    <row r="38" spans="1:7">
      <c r="A38" s="4">
        <v>2</v>
      </c>
      <c r="B38" s="4">
        <v>12</v>
      </c>
      <c r="C38" s="4">
        <v>0.21590000000000006</v>
      </c>
      <c r="D38" s="4">
        <v>-9.157000000000004E-2</v>
      </c>
      <c r="E38" s="4">
        <v>0.30750000000000011</v>
      </c>
      <c r="F38" s="19">
        <v>25500</v>
      </c>
      <c r="G38" s="1"/>
    </row>
    <row r="39" spans="1:7">
      <c r="A39" s="4">
        <v>2</v>
      </c>
      <c r="B39" s="4">
        <v>13</v>
      </c>
      <c r="C39" s="4">
        <v>0.23880000000000007</v>
      </c>
      <c r="D39" s="4">
        <v>-9.6210000000000045E-2</v>
      </c>
      <c r="E39" s="4">
        <v>0.33500000000000013</v>
      </c>
      <c r="F39" s="19">
        <v>23000</v>
      </c>
      <c r="G39" s="1"/>
    </row>
    <row r="40" spans="1:7">
      <c r="A40" s="4">
        <v>2</v>
      </c>
      <c r="B40" s="4">
        <v>14</v>
      </c>
      <c r="C40" s="4">
        <v>0.26500000000000007</v>
      </c>
      <c r="D40" s="4">
        <v>-9.9920000000000037E-2</v>
      </c>
      <c r="E40" s="4">
        <v>0.36490000000000011</v>
      </c>
      <c r="F40" s="19">
        <v>21000</v>
      </c>
      <c r="G40" s="1"/>
    </row>
    <row r="41" spans="1:7">
      <c r="A41" s="4">
        <v>2</v>
      </c>
      <c r="B41" s="4">
        <v>15</v>
      </c>
      <c r="C41" s="4">
        <v>0.29270000000000007</v>
      </c>
      <c r="D41" s="4">
        <v>-0.10480000000000003</v>
      </c>
      <c r="E41" s="4">
        <v>0.39750000000000013</v>
      </c>
      <c r="F41" s="19">
        <v>19000</v>
      </c>
      <c r="G41" s="1"/>
    </row>
    <row r="42" spans="1:7">
      <c r="A42" s="4">
        <v>2</v>
      </c>
      <c r="B42" s="4">
        <v>16</v>
      </c>
      <c r="C42" s="4">
        <v>0.32710000000000011</v>
      </c>
      <c r="D42" s="4">
        <v>-0.10760000000000003</v>
      </c>
      <c r="E42" s="4">
        <v>0.43460000000000015</v>
      </c>
      <c r="F42" s="19">
        <v>16500</v>
      </c>
      <c r="G42" s="1"/>
    </row>
    <row r="43" spans="1:7">
      <c r="A43" s="4">
        <v>2</v>
      </c>
      <c r="B43" s="4">
        <v>17</v>
      </c>
      <c r="C43" s="4">
        <v>0.36890000000000012</v>
      </c>
      <c r="D43" s="4">
        <v>-0.11030000000000004</v>
      </c>
      <c r="E43" s="4">
        <v>0.47920000000000013</v>
      </c>
      <c r="F43" s="19">
        <v>14500</v>
      </c>
      <c r="G43" s="1"/>
    </row>
    <row r="44" spans="1:7">
      <c r="A44" s="4">
        <v>2</v>
      </c>
      <c r="B44" s="4">
        <v>18</v>
      </c>
      <c r="C44" s="4">
        <v>0.40940000000000015</v>
      </c>
      <c r="D44" s="4">
        <v>-0.12000000000000004</v>
      </c>
      <c r="E44" s="4">
        <v>0.5294000000000002</v>
      </c>
      <c r="F44" s="19">
        <v>11000</v>
      </c>
      <c r="G44" s="1"/>
    </row>
    <row r="45" spans="1:7">
      <c r="A45" s="4">
        <v>2</v>
      </c>
      <c r="B45" s="4">
        <v>19</v>
      </c>
      <c r="C45" s="4">
        <v>0.48740000000000017</v>
      </c>
      <c r="D45" s="4">
        <v>-0.10900000000000004</v>
      </c>
      <c r="E45" s="4">
        <v>0.59640000000000015</v>
      </c>
      <c r="F45" s="19">
        <v>9100</v>
      </c>
      <c r="G45" s="1"/>
    </row>
    <row r="46" spans="1:7">
      <c r="A46" s="4">
        <v>2</v>
      </c>
      <c r="B46" s="4">
        <v>20</v>
      </c>
      <c r="C46" s="4">
        <v>0.70340000000000025</v>
      </c>
      <c r="D46" s="4">
        <v>-6.7960000000000034E-2</v>
      </c>
      <c r="E46" s="4">
        <v>0.7714000000000002</v>
      </c>
      <c r="F46" s="19">
        <v>7300</v>
      </c>
      <c r="G46" s="1"/>
    </row>
    <row r="47" spans="1:7">
      <c r="A47" s="4">
        <v>3</v>
      </c>
      <c r="B47" s="4">
        <v>1</v>
      </c>
      <c r="C47" s="4">
        <v>-0.15480000000000005</v>
      </c>
      <c r="D47" s="4">
        <v>3.2590000000000015E-2</v>
      </c>
      <c r="E47" s="4">
        <v>-0.18740000000000007</v>
      </c>
      <c r="F47" s="19">
        <v>72000</v>
      </c>
      <c r="G47" s="1"/>
    </row>
    <row r="48" spans="1:7">
      <c r="A48" s="4">
        <v>3</v>
      </c>
      <c r="B48" s="4">
        <v>2</v>
      </c>
      <c r="C48" s="4">
        <v>-4.4290000000000017E-2</v>
      </c>
      <c r="D48" s="4">
        <v>7.1180000000000028E-3</v>
      </c>
      <c r="E48" s="4">
        <v>-5.1410000000000018E-2</v>
      </c>
      <c r="F48" s="19">
        <v>133000</v>
      </c>
      <c r="G48" s="1"/>
    </row>
    <row r="49" spans="1:7">
      <c r="A49" s="4">
        <v>3</v>
      </c>
      <c r="B49" s="4">
        <v>3</v>
      </c>
      <c r="C49" s="4">
        <v>-1.9490000000000007E-2</v>
      </c>
      <c r="D49" s="4">
        <v>-1.8410000000000006E-2</v>
      </c>
      <c r="E49" s="4">
        <v>-1.0800000000000004E-3</v>
      </c>
      <c r="F49" s="19">
        <v>112000</v>
      </c>
      <c r="G49" s="1"/>
    </row>
    <row r="50" spans="1:7">
      <c r="A50" s="4">
        <v>3</v>
      </c>
      <c r="B50" s="4">
        <v>4</v>
      </c>
      <c r="C50" s="4">
        <v>3.4250000000000014E-3</v>
      </c>
      <c r="D50" s="4">
        <v>-3.3050000000000017E-2</v>
      </c>
      <c r="E50" s="4">
        <v>3.6470000000000016E-2</v>
      </c>
      <c r="F50" s="19">
        <v>85000</v>
      </c>
      <c r="G50" s="1"/>
    </row>
    <row r="51" spans="1:7">
      <c r="A51" s="4">
        <v>3</v>
      </c>
      <c r="B51" s="4">
        <v>5</v>
      </c>
      <c r="C51" s="4">
        <v>3.0420000000000013E-2</v>
      </c>
      <c r="D51" s="4">
        <v>-3.7340000000000019E-2</v>
      </c>
      <c r="E51" s="4">
        <v>6.7760000000000029E-2</v>
      </c>
      <c r="F51" s="19">
        <v>63000</v>
      </c>
      <c r="G51" s="1"/>
    </row>
    <row r="52" spans="1:7">
      <c r="A52" s="4">
        <v>3</v>
      </c>
      <c r="B52" s="4">
        <v>6</v>
      </c>
      <c r="C52" s="4">
        <v>5.6350000000000025E-2</v>
      </c>
      <c r="D52" s="4">
        <v>-3.9650000000000019E-2</v>
      </c>
      <c r="E52" s="4">
        <v>9.6000000000000044E-2</v>
      </c>
      <c r="F52" s="19">
        <v>52000</v>
      </c>
      <c r="G52" s="1"/>
    </row>
    <row r="53" spans="1:7">
      <c r="A53" s="4">
        <v>3</v>
      </c>
      <c r="B53" s="4">
        <v>7</v>
      </c>
      <c r="C53" s="4">
        <v>7.6950000000000032E-2</v>
      </c>
      <c r="D53" s="4">
        <v>-4.6280000000000023E-2</v>
      </c>
      <c r="E53" s="4">
        <v>0.12320000000000005</v>
      </c>
      <c r="F53" s="19">
        <v>45500</v>
      </c>
      <c r="G53" s="1"/>
    </row>
    <row r="54" spans="1:7">
      <c r="A54" s="4">
        <v>3</v>
      </c>
      <c r="B54" s="4">
        <v>8</v>
      </c>
      <c r="C54" s="4">
        <v>0.10010000000000004</v>
      </c>
      <c r="D54" s="4">
        <v>-4.9590000000000023E-2</v>
      </c>
      <c r="E54" s="4">
        <v>0.14970000000000006</v>
      </c>
      <c r="F54" s="19">
        <v>40000</v>
      </c>
      <c r="G54" s="1"/>
    </row>
    <row r="55" spans="1:7">
      <c r="A55" s="4">
        <v>3</v>
      </c>
      <c r="B55" s="4">
        <v>9</v>
      </c>
      <c r="C55" s="4">
        <v>0.11330000000000004</v>
      </c>
      <c r="D55" s="4">
        <v>-6.271000000000003E-2</v>
      </c>
      <c r="E55" s="4">
        <v>0.17600000000000005</v>
      </c>
      <c r="F55" s="19">
        <v>36500</v>
      </c>
      <c r="G55" s="1"/>
    </row>
    <row r="56" spans="1:7">
      <c r="A56" s="4">
        <v>3</v>
      </c>
      <c r="B56" s="4">
        <v>10</v>
      </c>
      <c r="C56" s="4">
        <v>0.13540000000000005</v>
      </c>
      <c r="D56" s="4">
        <v>-6.6900000000000029E-2</v>
      </c>
      <c r="E56" s="4">
        <v>0.20230000000000006</v>
      </c>
      <c r="F56" s="19">
        <v>33000</v>
      </c>
      <c r="G56" s="1"/>
    </row>
    <row r="57" spans="1:7">
      <c r="A57" s="4">
        <v>3</v>
      </c>
      <c r="B57" s="4">
        <v>11</v>
      </c>
      <c r="C57" s="4">
        <v>0.15490000000000004</v>
      </c>
      <c r="D57" s="4">
        <v>-7.2880000000000028E-2</v>
      </c>
      <c r="E57" s="4">
        <v>0.22770000000000007</v>
      </c>
      <c r="F57" s="19">
        <v>30000</v>
      </c>
      <c r="G57" s="1"/>
    </row>
    <row r="58" spans="1:7">
      <c r="A58" s="4">
        <v>3</v>
      </c>
      <c r="B58" s="4">
        <v>12</v>
      </c>
      <c r="C58" s="4">
        <v>0.17500000000000004</v>
      </c>
      <c r="D58" s="4">
        <v>-7.9780000000000031E-2</v>
      </c>
      <c r="E58" s="4">
        <v>0.25480000000000008</v>
      </c>
      <c r="F58" s="19">
        <v>27000</v>
      </c>
      <c r="G58" s="1"/>
    </row>
    <row r="59" spans="1:7">
      <c r="A59" s="4">
        <v>3</v>
      </c>
      <c r="B59" s="4">
        <v>13</v>
      </c>
      <c r="C59" s="4">
        <v>0.19940000000000008</v>
      </c>
      <c r="D59" s="4">
        <v>-8.3540000000000031E-2</v>
      </c>
      <c r="E59" s="4">
        <v>0.2829000000000001</v>
      </c>
      <c r="F59" s="19">
        <v>24500</v>
      </c>
      <c r="G59" s="1"/>
    </row>
    <row r="60" spans="1:7">
      <c r="A60" s="4">
        <v>3</v>
      </c>
      <c r="B60" s="4">
        <v>14</v>
      </c>
      <c r="C60" s="4">
        <v>0.22070000000000006</v>
      </c>
      <c r="D60" s="4">
        <v>-9.1610000000000039E-2</v>
      </c>
      <c r="E60" s="4">
        <v>0.31230000000000008</v>
      </c>
      <c r="F60" s="19">
        <v>22500</v>
      </c>
      <c r="G60" s="1"/>
    </row>
    <row r="61" spans="1:7">
      <c r="A61" s="4">
        <v>3</v>
      </c>
      <c r="B61" s="4">
        <v>15</v>
      </c>
      <c r="C61" s="4">
        <v>0.24650000000000008</v>
      </c>
      <c r="D61" s="4">
        <v>-9.8110000000000044E-2</v>
      </c>
      <c r="E61" s="4">
        <v>0.34460000000000013</v>
      </c>
      <c r="F61" s="19">
        <v>20000</v>
      </c>
      <c r="G61" s="1"/>
    </row>
    <row r="62" spans="1:7">
      <c r="A62" s="4">
        <v>3</v>
      </c>
      <c r="B62" s="4">
        <v>16</v>
      </c>
      <c r="C62" s="4">
        <v>0.27460000000000007</v>
      </c>
      <c r="D62" s="4">
        <v>-0.10720000000000003</v>
      </c>
      <c r="E62" s="4">
        <v>0.38190000000000013</v>
      </c>
      <c r="F62" s="19">
        <v>17500</v>
      </c>
      <c r="G62" s="1"/>
    </row>
    <row r="63" spans="1:7">
      <c r="A63" s="4">
        <v>3</v>
      </c>
      <c r="B63" s="4">
        <v>17</v>
      </c>
      <c r="C63" s="4">
        <v>0.3111000000000001</v>
      </c>
      <c r="D63" s="4">
        <v>-0.11550000000000003</v>
      </c>
      <c r="E63" s="4">
        <v>0.42660000000000015</v>
      </c>
      <c r="F63" s="19">
        <v>15000</v>
      </c>
      <c r="G63" s="1"/>
    </row>
    <row r="64" spans="1:7">
      <c r="A64" s="4">
        <v>3</v>
      </c>
      <c r="B64" s="4">
        <v>18</v>
      </c>
      <c r="C64" s="4">
        <v>0.3605000000000001</v>
      </c>
      <c r="D64" s="4">
        <v>-0.11640000000000003</v>
      </c>
      <c r="E64" s="4">
        <v>0.47690000000000016</v>
      </c>
      <c r="F64" s="19">
        <v>12000</v>
      </c>
      <c r="G64" s="1"/>
    </row>
    <row r="65" spans="1:7">
      <c r="A65" s="4">
        <v>3</v>
      </c>
      <c r="B65" s="4">
        <v>19</v>
      </c>
      <c r="C65" s="4">
        <v>0.42270000000000013</v>
      </c>
      <c r="D65" s="4">
        <v>-0.12140000000000004</v>
      </c>
      <c r="E65" s="4">
        <v>0.54410000000000014</v>
      </c>
      <c r="F65" s="19">
        <v>9400</v>
      </c>
      <c r="G65" s="1"/>
    </row>
    <row r="66" spans="1:7">
      <c r="A66" s="4">
        <v>3</v>
      </c>
      <c r="B66" s="4">
        <v>20</v>
      </c>
      <c r="C66" s="4">
        <v>0.62750000000000017</v>
      </c>
      <c r="D66" s="4">
        <v>-8.7810000000000041E-2</v>
      </c>
      <c r="E66" s="4">
        <v>0.71530000000000027</v>
      </c>
      <c r="F66" s="19">
        <v>7300</v>
      </c>
      <c r="G66" s="1"/>
    </row>
    <row r="67" spans="1:7">
      <c r="A67" s="4">
        <v>4</v>
      </c>
      <c r="B67" s="4">
        <v>1</v>
      </c>
      <c r="C67" s="4">
        <v>-0.20620000000000008</v>
      </c>
      <c r="D67" s="4">
        <v>2.9510000000000012E-2</v>
      </c>
      <c r="E67" s="4">
        <v>-0.23580000000000007</v>
      </c>
      <c r="F67" s="19">
        <v>50500</v>
      </c>
      <c r="G67" s="1"/>
    </row>
    <row r="68" spans="1:7">
      <c r="A68" s="4">
        <v>4</v>
      </c>
      <c r="B68" s="4">
        <v>2</v>
      </c>
      <c r="C68" s="4">
        <v>-6.6520000000000024E-2</v>
      </c>
      <c r="D68" s="4">
        <v>2.1080000000000008E-2</v>
      </c>
      <c r="E68" s="4">
        <v>-8.7600000000000039E-2</v>
      </c>
      <c r="F68" s="19">
        <v>91000</v>
      </c>
      <c r="G68" s="1"/>
    </row>
    <row r="69" spans="1:7">
      <c r="A69" s="4">
        <v>4</v>
      </c>
      <c r="B69" s="4">
        <v>3</v>
      </c>
      <c r="C69" s="4">
        <v>-3.9650000000000019E-2</v>
      </c>
      <c r="D69" s="4">
        <v>-2.223000000000001E-3</v>
      </c>
      <c r="E69" s="4">
        <v>-3.7430000000000019E-2</v>
      </c>
      <c r="F69" s="19">
        <v>107000</v>
      </c>
      <c r="G69" s="1"/>
    </row>
    <row r="70" spans="1:7">
      <c r="A70" s="4">
        <v>4</v>
      </c>
      <c r="B70" s="4">
        <v>4</v>
      </c>
      <c r="C70" s="4">
        <v>-2.1150000000000009E-2</v>
      </c>
      <c r="D70" s="4">
        <v>-2.0230000000000008E-2</v>
      </c>
      <c r="E70" s="4">
        <v>-9.1290000000000045E-4</v>
      </c>
      <c r="F70" s="19">
        <v>108000</v>
      </c>
      <c r="G70" s="1"/>
    </row>
    <row r="71" spans="1:7">
      <c r="A71" s="4">
        <v>4</v>
      </c>
      <c r="B71" s="4">
        <v>5</v>
      </c>
      <c r="C71" s="4">
        <v>-5.3460000000000018E-3</v>
      </c>
      <c r="D71" s="4">
        <v>-3.6650000000000016E-2</v>
      </c>
      <c r="E71" s="4">
        <v>3.1300000000000015E-2</v>
      </c>
      <c r="F71" s="19">
        <v>84500</v>
      </c>
      <c r="G71" s="1"/>
    </row>
    <row r="72" spans="1:7">
      <c r="A72" s="4">
        <v>4</v>
      </c>
      <c r="B72" s="4">
        <v>6</v>
      </c>
      <c r="C72" s="4">
        <v>2.9980000000000014E-2</v>
      </c>
      <c r="D72" s="4">
        <v>-2.8380000000000013E-2</v>
      </c>
      <c r="E72" s="4">
        <v>5.8370000000000026E-2</v>
      </c>
      <c r="F72" s="19">
        <v>63500</v>
      </c>
      <c r="G72" s="1"/>
    </row>
    <row r="73" spans="1:7">
      <c r="A73" s="4">
        <v>4</v>
      </c>
      <c r="B73" s="4">
        <v>7</v>
      </c>
      <c r="C73" s="4">
        <v>5.4050000000000022E-2</v>
      </c>
      <c r="D73" s="4">
        <v>-3.1580000000000011E-2</v>
      </c>
      <c r="E73" s="4">
        <v>8.5630000000000039E-2</v>
      </c>
      <c r="F73" s="19">
        <v>55500</v>
      </c>
      <c r="G73" s="1"/>
    </row>
    <row r="74" spans="1:7">
      <c r="A74" s="4">
        <v>4</v>
      </c>
      <c r="B74" s="4">
        <v>8</v>
      </c>
      <c r="C74" s="4">
        <v>7.0260000000000031E-2</v>
      </c>
      <c r="D74" s="4">
        <v>-4.1770000000000015E-2</v>
      </c>
      <c r="E74" s="4">
        <v>0.11200000000000003</v>
      </c>
      <c r="F74" s="19">
        <v>46500</v>
      </c>
      <c r="G74" s="1"/>
    </row>
    <row r="75" spans="1:7">
      <c r="A75" s="4">
        <v>4</v>
      </c>
      <c r="B75" s="4">
        <v>9</v>
      </c>
      <c r="C75" s="4">
        <v>8.8740000000000041E-2</v>
      </c>
      <c r="D75" s="4">
        <v>-4.9800000000000018E-2</v>
      </c>
      <c r="E75" s="4">
        <v>0.13850000000000004</v>
      </c>
      <c r="F75" s="19">
        <v>40500</v>
      </c>
      <c r="G75" s="1"/>
    </row>
    <row r="76" spans="1:7">
      <c r="A76" s="4">
        <v>4</v>
      </c>
      <c r="B76" s="4">
        <v>10</v>
      </c>
      <c r="C76" s="4">
        <v>0.10810000000000003</v>
      </c>
      <c r="D76" s="4">
        <v>-5.6220000000000027E-2</v>
      </c>
      <c r="E76" s="4">
        <v>0.16430000000000006</v>
      </c>
      <c r="F76" s="19">
        <v>35500</v>
      </c>
      <c r="G76" s="1"/>
    </row>
    <row r="77" spans="1:7">
      <c r="A77" s="4">
        <v>4</v>
      </c>
      <c r="B77" s="4">
        <v>11</v>
      </c>
      <c r="C77" s="4">
        <v>0.12680000000000005</v>
      </c>
      <c r="D77" s="4">
        <v>-6.3360000000000027E-2</v>
      </c>
      <c r="E77" s="4">
        <v>0.19020000000000006</v>
      </c>
      <c r="F77" s="19">
        <v>32000</v>
      </c>
      <c r="G77" s="1"/>
    </row>
    <row r="78" spans="1:7">
      <c r="A78" s="4">
        <v>4</v>
      </c>
      <c r="B78" s="4">
        <v>12</v>
      </c>
      <c r="C78" s="4">
        <v>0.14980000000000004</v>
      </c>
      <c r="D78" s="4">
        <v>-6.7360000000000031E-2</v>
      </c>
      <c r="E78" s="4">
        <v>0.21720000000000006</v>
      </c>
      <c r="F78" s="19">
        <v>30000</v>
      </c>
      <c r="G78" s="1"/>
    </row>
    <row r="79" spans="1:7">
      <c r="A79" s="4">
        <v>4</v>
      </c>
      <c r="B79" s="4">
        <v>13</v>
      </c>
      <c r="C79" s="4">
        <v>0.15810000000000005</v>
      </c>
      <c r="D79" s="4">
        <v>-8.7020000000000042E-2</v>
      </c>
      <c r="E79" s="4">
        <v>0.24510000000000007</v>
      </c>
      <c r="F79" s="19">
        <v>27500</v>
      </c>
      <c r="G79" s="1"/>
    </row>
    <row r="80" spans="1:7">
      <c r="A80" s="4">
        <v>4</v>
      </c>
      <c r="B80" s="4">
        <v>14</v>
      </c>
      <c r="C80" s="4">
        <v>0.18210000000000007</v>
      </c>
      <c r="D80" s="4">
        <v>-8.9450000000000043E-2</v>
      </c>
      <c r="E80" s="4">
        <v>0.27160000000000006</v>
      </c>
      <c r="F80" s="19">
        <v>26500</v>
      </c>
      <c r="G80" s="1"/>
    </row>
    <row r="81" spans="1:7">
      <c r="A81" s="4">
        <v>4</v>
      </c>
      <c r="B81" s="4">
        <v>15</v>
      </c>
      <c r="C81" s="4">
        <v>0.21340000000000006</v>
      </c>
      <c r="D81" s="4">
        <v>-9.3580000000000038E-2</v>
      </c>
      <c r="E81" s="4">
        <v>0.30700000000000011</v>
      </c>
      <c r="F81" s="19">
        <v>22000</v>
      </c>
      <c r="G81" s="1"/>
    </row>
    <row r="82" spans="1:7">
      <c r="A82" s="4">
        <v>4</v>
      </c>
      <c r="B82" s="4">
        <v>16</v>
      </c>
      <c r="C82" s="4">
        <v>0.24450000000000008</v>
      </c>
      <c r="D82" s="4">
        <v>-0.10040000000000003</v>
      </c>
      <c r="E82" s="4">
        <v>0.34480000000000011</v>
      </c>
      <c r="F82" s="19">
        <v>18500</v>
      </c>
      <c r="G82" s="1"/>
    </row>
    <row r="83" spans="1:7">
      <c r="A83" s="4">
        <v>4</v>
      </c>
      <c r="B83" s="4">
        <v>17</v>
      </c>
      <c r="C83" s="4">
        <v>0.28720000000000007</v>
      </c>
      <c r="D83" s="4">
        <v>-0.10190000000000003</v>
      </c>
      <c r="E83" s="4">
        <v>0.38910000000000011</v>
      </c>
      <c r="F83" s="19">
        <v>16000</v>
      </c>
      <c r="G83" s="1"/>
    </row>
    <row r="84" spans="1:7">
      <c r="A84" s="4">
        <v>4</v>
      </c>
      <c r="B84" s="4">
        <v>18</v>
      </c>
      <c r="C84" s="4">
        <v>0.33350000000000013</v>
      </c>
      <c r="D84" s="4">
        <v>-0.10620000000000003</v>
      </c>
      <c r="E84" s="4">
        <v>0.43960000000000016</v>
      </c>
      <c r="F84" s="19">
        <v>12500</v>
      </c>
      <c r="G84" s="1"/>
    </row>
    <row r="85" spans="1:7">
      <c r="A85" s="4">
        <v>4</v>
      </c>
      <c r="B85" s="4">
        <v>19</v>
      </c>
      <c r="C85" s="4">
        <v>0.39250000000000013</v>
      </c>
      <c r="D85" s="4">
        <v>-0.11410000000000003</v>
      </c>
      <c r="E85" s="4">
        <v>0.50660000000000016</v>
      </c>
      <c r="F85" s="19">
        <v>10500</v>
      </c>
      <c r="G85" s="1"/>
    </row>
    <row r="86" spans="1:7">
      <c r="A86" s="4">
        <v>4</v>
      </c>
      <c r="B86" s="4">
        <v>20</v>
      </c>
      <c r="C86" s="4">
        <v>0.58530000000000015</v>
      </c>
      <c r="D86" s="4">
        <v>-0.10070000000000003</v>
      </c>
      <c r="E86" s="4">
        <v>0.68600000000000017</v>
      </c>
      <c r="F86" s="19">
        <v>8100</v>
      </c>
      <c r="G86" s="1"/>
    </row>
    <row r="87" spans="1:7">
      <c r="A87" s="4">
        <v>5</v>
      </c>
      <c r="B87" s="4">
        <v>1</v>
      </c>
      <c r="C87" s="4">
        <v>-0.24550000000000008</v>
      </c>
      <c r="D87" s="4">
        <v>2.9990000000000013E-2</v>
      </c>
      <c r="E87" s="4">
        <v>-0.27550000000000008</v>
      </c>
      <c r="F87" s="19">
        <v>40000</v>
      </c>
      <c r="G87" s="1"/>
    </row>
    <row r="88" spans="1:7">
      <c r="A88" s="4">
        <v>5</v>
      </c>
      <c r="B88" s="4">
        <v>2</v>
      </c>
      <c r="C88" s="4">
        <v>-9.0290000000000037E-2</v>
      </c>
      <c r="D88" s="4">
        <v>2.9200000000000011E-2</v>
      </c>
      <c r="E88" s="4">
        <v>-0.11950000000000004</v>
      </c>
      <c r="F88" s="19">
        <v>65000</v>
      </c>
      <c r="G88" s="1"/>
    </row>
    <row r="89" spans="1:7">
      <c r="A89" s="4">
        <v>5</v>
      </c>
      <c r="B89" s="4">
        <v>3</v>
      </c>
      <c r="C89" s="4">
        <v>-5.2220000000000023E-2</v>
      </c>
      <c r="D89" s="4">
        <v>1.5520000000000006E-2</v>
      </c>
      <c r="E89" s="4">
        <v>-6.7740000000000022E-2</v>
      </c>
      <c r="F89" s="19">
        <v>89000</v>
      </c>
      <c r="G89" s="1"/>
    </row>
    <row r="90" spans="1:7">
      <c r="A90" s="4">
        <v>5</v>
      </c>
      <c r="B90" s="4">
        <v>4</v>
      </c>
      <c r="C90" s="4">
        <v>-2.8870000000000014E-2</v>
      </c>
      <c r="D90" s="4">
        <v>2.4270000000000008E-3</v>
      </c>
      <c r="E90" s="4">
        <v>-3.1300000000000015E-2</v>
      </c>
      <c r="F90" s="19">
        <v>101000</v>
      </c>
      <c r="G90" s="1"/>
    </row>
    <row r="91" spans="1:7">
      <c r="A91" s="4">
        <v>5</v>
      </c>
      <c r="B91" s="4">
        <v>5</v>
      </c>
      <c r="C91" s="4">
        <v>-1.4580000000000006E-2</v>
      </c>
      <c r="D91" s="4">
        <v>-1.3620000000000005E-2</v>
      </c>
      <c r="E91" s="4">
        <v>-9.6140000000000049E-4</v>
      </c>
      <c r="F91" s="19">
        <v>99000</v>
      </c>
      <c r="G91" s="1"/>
    </row>
    <row r="92" spans="1:7">
      <c r="A92" s="4">
        <v>5</v>
      </c>
      <c r="B92" s="4">
        <v>6</v>
      </c>
      <c r="C92" s="4">
        <v>9.9960000000000031E-3</v>
      </c>
      <c r="D92" s="4">
        <v>-1.7210000000000007E-2</v>
      </c>
      <c r="E92" s="4">
        <v>2.7210000000000012E-2</v>
      </c>
      <c r="F92" s="19">
        <v>79000</v>
      </c>
      <c r="G92" s="1"/>
    </row>
    <row r="93" spans="1:7">
      <c r="A93" s="4">
        <v>5</v>
      </c>
      <c r="B93" s="4">
        <v>7</v>
      </c>
      <c r="C93" s="4">
        <v>2.9110000000000011E-2</v>
      </c>
      <c r="D93" s="4">
        <v>-2.488000000000001E-2</v>
      </c>
      <c r="E93" s="4">
        <v>5.3990000000000024E-2</v>
      </c>
      <c r="F93" s="19">
        <v>67000</v>
      </c>
      <c r="G93" s="1"/>
    </row>
    <row r="94" spans="1:7">
      <c r="A94" s="4">
        <v>5</v>
      </c>
      <c r="B94" s="4">
        <v>8</v>
      </c>
      <c r="C94" s="4">
        <v>5.044000000000002E-2</v>
      </c>
      <c r="D94" s="4">
        <v>-3.0220000000000014E-2</v>
      </c>
      <c r="E94" s="4">
        <v>8.0660000000000037E-2</v>
      </c>
      <c r="F94" s="19">
        <v>55000</v>
      </c>
      <c r="G94" s="1"/>
    </row>
    <row r="95" spans="1:7">
      <c r="A95" s="4">
        <v>5</v>
      </c>
      <c r="B95" s="4">
        <v>9</v>
      </c>
      <c r="C95" s="4">
        <v>6.9420000000000023E-2</v>
      </c>
      <c r="D95" s="4">
        <v>-3.7290000000000018E-2</v>
      </c>
      <c r="E95" s="4">
        <v>0.10670000000000003</v>
      </c>
      <c r="F95" s="19">
        <v>46000</v>
      </c>
      <c r="G95" s="1"/>
    </row>
    <row r="96" spans="1:7">
      <c r="A96" s="4">
        <v>5</v>
      </c>
      <c r="B96" s="4">
        <v>10</v>
      </c>
      <c r="C96" s="4">
        <v>8.7880000000000041E-2</v>
      </c>
      <c r="D96" s="4">
        <v>-4.4880000000000017E-2</v>
      </c>
      <c r="E96" s="4">
        <v>0.13280000000000003</v>
      </c>
      <c r="F96" s="19">
        <v>41000</v>
      </c>
      <c r="G96" s="1"/>
    </row>
    <row r="97" spans="1:7">
      <c r="A97" s="4">
        <v>5</v>
      </c>
      <c r="B97" s="4">
        <v>11</v>
      </c>
      <c r="C97" s="4">
        <v>0.10420000000000003</v>
      </c>
      <c r="D97" s="4">
        <v>-5.4810000000000025E-2</v>
      </c>
      <c r="E97" s="4">
        <v>0.15900000000000006</v>
      </c>
      <c r="F97" s="19">
        <v>37000</v>
      </c>
      <c r="G97" s="1"/>
    </row>
    <row r="98" spans="1:7">
      <c r="A98" s="4">
        <v>5</v>
      </c>
      <c r="B98" s="4">
        <v>12</v>
      </c>
      <c r="C98" s="4">
        <v>0.12060000000000004</v>
      </c>
      <c r="D98" s="4">
        <v>-6.4950000000000022E-2</v>
      </c>
      <c r="E98" s="4">
        <v>0.18560000000000007</v>
      </c>
      <c r="F98" s="19">
        <v>36000</v>
      </c>
      <c r="G98" s="1"/>
    </row>
    <row r="99" spans="1:7">
      <c r="A99" s="4">
        <v>5</v>
      </c>
      <c r="B99" s="4">
        <v>13</v>
      </c>
      <c r="C99" s="4">
        <v>0.14550000000000005</v>
      </c>
      <c r="D99" s="4">
        <v>-6.7990000000000023E-2</v>
      </c>
      <c r="E99" s="4">
        <v>0.21350000000000008</v>
      </c>
      <c r="F99" s="19">
        <v>29000</v>
      </c>
      <c r="G99" s="1"/>
    </row>
    <row r="100" spans="1:7">
      <c r="A100" s="4">
        <v>5</v>
      </c>
      <c r="B100" s="4">
        <v>14</v>
      </c>
      <c r="C100" s="4">
        <v>0.16660000000000005</v>
      </c>
      <c r="D100" s="4">
        <v>-7.6320000000000027E-2</v>
      </c>
      <c r="E100" s="4">
        <v>0.24290000000000009</v>
      </c>
      <c r="F100" s="19">
        <v>26500</v>
      </c>
      <c r="G100" s="1"/>
    </row>
    <row r="101" spans="1:7">
      <c r="A101" s="4">
        <v>5</v>
      </c>
      <c r="B101" s="4">
        <v>15</v>
      </c>
      <c r="C101" s="4">
        <v>0.18910000000000007</v>
      </c>
      <c r="D101" s="4">
        <v>-8.6100000000000038E-2</v>
      </c>
      <c r="E101" s="4">
        <v>0.27520000000000011</v>
      </c>
      <c r="F101" s="19">
        <v>23000</v>
      </c>
      <c r="G101" s="1"/>
    </row>
    <row r="102" spans="1:7">
      <c r="A102" s="4">
        <v>5</v>
      </c>
      <c r="B102" s="4">
        <v>16</v>
      </c>
      <c r="C102" s="4">
        <v>0.21610000000000007</v>
      </c>
      <c r="D102" s="4">
        <v>-9.6710000000000046E-2</v>
      </c>
      <c r="E102" s="4">
        <v>0.31280000000000008</v>
      </c>
      <c r="F102" s="19">
        <v>20500</v>
      </c>
      <c r="G102" s="1"/>
    </row>
    <row r="103" spans="1:7">
      <c r="A103" s="4">
        <v>5</v>
      </c>
      <c r="B103" s="4">
        <v>17</v>
      </c>
      <c r="C103" s="4">
        <v>0.26100000000000007</v>
      </c>
      <c r="D103" s="4">
        <v>-9.6140000000000045E-2</v>
      </c>
      <c r="E103" s="4">
        <v>0.35710000000000014</v>
      </c>
      <c r="F103" s="19">
        <v>17500</v>
      </c>
      <c r="G103" s="1"/>
    </row>
    <row r="104" spans="1:7">
      <c r="A104" s="4">
        <v>5</v>
      </c>
      <c r="B104" s="4">
        <v>18</v>
      </c>
      <c r="C104" s="4">
        <v>0.30220000000000008</v>
      </c>
      <c r="D104" s="4">
        <v>-0.10560000000000003</v>
      </c>
      <c r="E104" s="4">
        <v>0.40780000000000011</v>
      </c>
      <c r="F104" s="19">
        <v>14000</v>
      </c>
      <c r="G104" s="1"/>
    </row>
    <row r="105" spans="1:7">
      <c r="A105" s="4">
        <v>5</v>
      </c>
      <c r="B105" s="4">
        <v>19</v>
      </c>
      <c r="C105" s="4">
        <v>0.35250000000000009</v>
      </c>
      <c r="D105" s="4">
        <v>-0.12220000000000004</v>
      </c>
      <c r="E105" s="4">
        <v>0.47460000000000013</v>
      </c>
      <c r="F105" s="19">
        <v>11500</v>
      </c>
      <c r="G105" s="1"/>
    </row>
    <row r="106" spans="1:7">
      <c r="A106" s="4">
        <v>5</v>
      </c>
      <c r="B106" s="4">
        <v>20</v>
      </c>
      <c r="C106" s="4">
        <v>0.52680000000000016</v>
      </c>
      <c r="D106" s="4">
        <v>-0.11710000000000004</v>
      </c>
      <c r="E106" s="4">
        <v>0.64400000000000024</v>
      </c>
      <c r="F106" s="19">
        <v>8800</v>
      </c>
      <c r="G106" s="1"/>
    </row>
    <row r="107" spans="1:7">
      <c r="A107" s="4">
        <v>6</v>
      </c>
      <c r="B107" s="4">
        <v>1</v>
      </c>
      <c r="C107" s="4">
        <v>-0.27410000000000007</v>
      </c>
      <c r="D107" s="4">
        <v>3.5170000000000014E-2</v>
      </c>
      <c r="E107" s="4">
        <v>-0.30930000000000007</v>
      </c>
      <c r="F107" s="19">
        <v>33000</v>
      </c>
      <c r="G107" s="1"/>
    </row>
    <row r="108" spans="1:7">
      <c r="A108" s="4">
        <v>6</v>
      </c>
      <c r="B108" s="4">
        <v>2</v>
      </c>
      <c r="C108" s="4">
        <v>-0.11840000000000003</v>
      </c>
      <c r="D108" s="4">
        <v>2.9690000000000012E-2</v>
      </c>
      <c r="E108" s="4">
        <v>-0.14800000000000005</v>
      </c>
      <c r="F108" s="19">
        <v>48500</v>
      </c>
      <c r="G108" s="1"/>
    </row>
    <row r="109" spans="1:7">
      <c r="A109" s="4">
        <v>6</v>
      </c>
      <c r="B109" s="4">
        <v>3</v>
      </c>
      <c r="C109" s="4">
        <v>-7.3260000000000033E-2</v>
      </c>
      <c r="D109" s="4">
        <v>2.1870000000000007E-2</v>
      </c>
      <c r="E109" s="4">
        <v>-9.5130000000000034E-2</v>
      </c>
      <c r="F109" s="19">
        <v>63000</v>
      </c>
      <c r="G109" s="1"/>
    </row>
    <row r="110" spans="1:7">
      <c r="A110" s="4">
        <v>6</v>
      </c>
      <c r="B110" s="4">
        <v>4</v>
      </c>
      <c r="C110" s="4">
        <v>-4.4520000000000018E-2</v>
      </c>
      <c r="D110" s="4">
        <v>1.3820000000000006E-2</v>
      </c>
      <c r="E110" s="4">
        <v>-5.8340000000000024E-2</v>
      </c>
      <c r="F110" s="19">
        <v>82000</v>
      </c>
      <c r="G110" s="1"/>
    </row>
    <row r="111" spans="1:7">
      <c r="A111" s="4">
        <v>6</v>
      </c>
      <c r="B111" s="4">
        <v>5</v>
      </c>
      <c r="C111" s="4">
        <v>-1.8070000000000006E-2</v>
      </c>
      <c r="D111" s="4">
        <v>9.7210000000000039E-3</v>
      </c>
      <c r="E111" s="4">
        <v>-2.7790000000000013E-2</v>
      </c>
      <c r="F111" s="19">
        <v>98500</v>
      </c>
      <c r="G111" s="1"/>
    </row>
    <row r="112" spans="1:7">
      <c r="A112" s="4">
        <v>6</v>
      </c>
      <c r="B112" s="4">
        <v>6</v>
      </c>
      <c r="C112" s="4">
        <v>2.6260000000000012E-3</v>
      </c>
      <c r="D112" s="4">
        <v>2.1340000000000009E-3</v>
      </c>
      <c r="E112" s="4">
        <v>4.9200000000000025E-4</v>
      </c>
      <c r="F112" s="19">
        <v>111000</v>
      </c>
      <c r="G112" s="1"/>
    </row>
    <row r="113" spans="1:7">
      <c r="A113" s="4">
        <v>6</v>
      </c>
      <c r="B113" s="4">
        <v>7</v>
      </c>
      <c r="C113" s="4">
        <v>1.4750000000000006E-2</v>
      </c>
      <c r="D113" s="4">
        <v>-1.0940000000000005E-2</v>
      </c>
      <c r="E113" s="4">
        <v>2.5690000000000011E-2</v>
      </c>
      <c r="F113" s="19">
        <v>80500</v>
      </c>
      <c r="G113" s="1"/>
    </row>
    <row r="114" spans="1:7">
      <c r="A114" s="4">
        <v>6</v>
      </c>
      <c r="B114" s="4">
        <v>8</v>
      </c>
      <c r="C114" s="4">
        <v>3.7690000000000015E-2</v>
      </c>
      <c r="D114" s="4">
        <v>-1.4620000000000006E-2</v>
      </c>
      <c r="E114" s="4">
        <v>5.2310000000000023E-2</v>
      </c>
      <c r="F114" s="19">
        <v>68500</v>
      </c>
      <c r="G114" s="1"/>
    </row>
    <row r="115" spans="1:7">
      <c r="A115" s="4">
        <v>6</v>
      </c>
      <c r="B115" s="4">
        <v>9</v>
      </c>
      <c r="C115" s="4">
        <v>4.9900000000000021E-2</v>
      </c>
      <c r="D115" s="4">
        <v>-2.8580000000000012E-2</v>
      </c>
      <c r="E115" s="4">
        <v>7.8480000000000036E-2</v>
      </c>
      <c r="F115" s="19">
        <v>54500</v>
      </c>
      <c r="G115" s="1"/>
    </row>
    <row r="116" spans="1:7">
      <c r="A116" s="4">
        <v>6</v>
      </c>
      <c r="B116" s="4">
        <v>10</v>
      </c>
      <c r="C116" s="4">
        <v>7.420000000000003E-2</v>
      </c>
      <c r="D116" s="4">
        <v>-3.0620000000000012E-2</v>
      </c>
      <c r="E116" s="4">
        <v>0.10480000000000003</v>
      </c>
      <c r="F116" s="19">
        <v>46500</v>
      </c>
      <c r="G116" s="1"/>
    </row>
    <row r="117" spans="1:7">
      <c r="A117" s="4">
        <v>6</v>
      </c>
      <c r="B117" s="4">
        <v>11</v>
      </c>
      <c r="C117" s="4">
        <v>9.150000000000004E-2</v>
      </c>
      <c r="D117" s="4">
        <v>-3.8900000000000018E-2</v>
      </c>
      <c r="E117" s="4">
        <v>0.13040000000000004</v>
      </c>
      <c r="F117" s="19">
        <v>41000</v>
      </c>
      <c r="G117" s="1"/>
    </row>
    <row r="118" spans="1:7">
      <c r="A118" s="4">
        <v>6</v>
      </c>
      <c r="B118" s="4">
        <v>12</v>
      </c>
      <c r="C118" s="4">
        <v>0.10670000000000003</v>
      </c>
      <c r="D118" s="4">
        <v>-5.0770000000000023E-2</v>
      </c>
      <c r="E118" s="4">
        <v>0.15750000000000006</v>
      </c>
      <c r="F118" s="19">
        <v>38000</v>
      </c>
      <c r="G118" s="1"/>
    </row>
    <row r="119" spans="1:7">
      <c r="A119" s="4">
        <v>6</v>
      </c>
      <c r="B119" s="4">
        <v>13</v>
      </c>
      <c r="C119" s="4">
        <v>0.13600000000000004</v>
      </c>
      <c r="D119" s="4">
        <v>-4.9980000000000024E-2</v>
      </c>
      <c r="E119" s="4">
        <v>0.18590000000000007</v>
      </c>
      <c r="F119" s="19">
        <v>33000</v>
      </c>
      <c r="G119" s="1"/>
    </row>
    <row r="120" spans="1:7">
      <c r="A120" s="4">
        <v>6</v>
      </c>
      <c r="B120" s="4">
        <v>14</v>
      </c>
      <c r="C120" s="4">
        <v>0.15990000000000004</v>
      </c>
      <c r="D120" s="4">
        <v>-5.520000000000002E-2</v>
      </c>
      <c r="E120" s="4">
        <v>0.21510000000000007</v>
      </c>
      <c r="F120" s="19">
        <v>28500</v>
      </c>
      <c r="G120" s="1"/>
    </row>
    <row r="121" spans="1:7">
      <c r="A121" s="4">
        <v>6</v>
      </c>
      <c r="B121" s="4">
        <v>15</v>
      </c>
      <c r="C121" s="4">
        <v>0.17770000000000005</v>
      </c>
      <c r="D121" s="4">
        <v>-6.9630000000000025E-2</v>
      </c>
      <c r="E121" s="4">
        <v>0.24730000000000008</v>
      </c>
      <c r="F121" s="19">
        <v>25500</v>
      </c>
      <c r="G121" s="1"/>
    </row>
    <row r="122" spans="1:7">
      <c r="A122" s="4">
        <v>6</v>
      </c>
      <c r="B122" s="4">
        <v>16</v>
      </c>
      <c r="C122" s="4">
        <v>0.21010000000000006</v>
      </c>
      <c r="D122" s="4">
        <v>-7.4710000000000026E-2</v>
      </c>
      <c r="E122" s="4">
        <v>0.28480000000000011</v>
      </c>
      <c r="F122" s="19">
        <v>22500</v>
      </c>
      <c r="G122" s="1"/>
    </row>
    <row r="123" spans="1:7">
      <c r="A123" s="4">
        <v>6</v>
      </c>
      <c r="B123" s="4">
        <v>17</v>
      </c>
      <c r="C123" s="4">
        <v>0.23920000000000008</v>
      </c>
      <c r="D123" s="4">
        <v>-9.0020000000000044E-2</v>
      </c>
      <c r="E123" s="4">
        <v>0.3292000000000001</v>
      </c>
      <c r="F123" s="19">
        <v>19500</v>
      </c>
      <c r="G123" s="1"/>
    </row>
    <row r="124" spans="1:7">
      <c r="A124" s="4">
        <v>6</v>
      </c>
      <c r="B124" s="4">
        <v>18</v>
      </c>
      <c r="C124" s="4">
        <v>0.2834000000000001</v>
      </c>
      <c r="D124" s="4">
        <v>-9.6300000000000038E-2</v>
      </c>
      <c r="E124" s="4">
        <v>0.37970000000000015</v>
      </c>
      <c r="F124" s="19">
        <v>15500</v>
      </c>
      <c r="G124" s="1"/>
    </row>
    <row r="125" spans="1:7">
      <c r="A125" s="4">
        <v>6</v>
      </c>
      <c r="B125" s="4">
        <v>19</v>
      </c>
      <c r="C125" s="4">
        <v>0.33640000000000009</v>
      </c>
      <c r="D125" s="4">
        <v>-0.11040000000000004</v>
      </c>
      <c r="E125" s="4">
        <v>0.44680000000000014</v>
      </c>
      <c r="F125" s="19">
        <v>14000</v>
      </c>
      <c r="G125" s="1"/>
    </row>
    <row r="126" spans="1:7">
      <c r="A126" s="4">
        <v>6</v>
      </c>
      <c r="B126" s="4">
        <v>20</v>
      </c>
      <c r="C126" s="4">
        <v>0.54350000000000021</v>
      </c>
      <c r="D126" s="4">
        <v>-8.118000000000003E-2</v>
      </c>
      <c r="E126" s="4">
        <v>0.62470000000000014</v>
      </c>
      <c r="F126" s="19">
        <v>11000</v>
      </c>
      <c r="G126" s="1"/>
    </row>
    <row r="127" spans="1:7">
      <c r="A127" s="4">
        <v>7</v>
      </c>
      <c r="B127" s="4">
        <v>1</v>
      </c>
      <c r="C127" s="4">
        <v>-0.31990000000000013</v>
      </c>
      <c r="D127" s="4">
        <v>2.4740000000000012E-2</v>
      </c>
      <c r="E127" s="4">
        <v>-0.34460000000000013</v>
      </c>
      <c r="F127" s="19">
        <v>29000</v>
      </c>
      <c r="G127" s="1"/>
    </row>
    <row r="128" spans="1:7">
      <c r="A128" s="4">
        <v>7</v>
      </c>
      <c r="B128" s="4">
        <v>2</v>
      </c>
      <c r="C128" s="4">
        <v>-0.14180000000000004</v>
      </c>
      <c r="D128" s="4">
        <v>3.3650000000000013E-2</v>
      </c>
      <c r="E128" s="4">
        <v>-0.17540000000000006</v>
      </c>
      <c r="F128" s="19">
        <v>38500</v>
      </c>
      <c r="G128" s="1"/>
    </row>
    <row r="129" spans="1:7">
      <c r="A129" s="4">
        <v>7</v>
      </c>
      <c r="B129" s="4">
        <v>3</v>
      </c>
      <c r="C129" s="4">
        <v>-9.465000000000004E-2</v>
      </c>
      <c r="D129" s="4">
        <v>2.7500000000000011E-2</v>
      </c>
      <c r="E129" s="4">
        <v>-0.12220000000000004</v>
      </c>
      <c r="F129" s="19">
        <v>48000</v>
      </c>
      <c r="G129" s="1"/>
    </row>
    <row r="130" spans="1:7">
      <c r="A130" s="4">
        <v>7</v>
      </c>
      <c r="B130" s="4">
        <v>4</v>
      </c>
      <c r="C130" s="4">
        <v>-6.7930000000000032E-2</v>
      </c>
      <c r="D130" s="4">
        <v>1.6870000000000007E-2</v>
      </c>
      <c r="E130" s="4">
        <v>-8.4800000000000042E-2</v>
      </c>
      <c r="F130" s="19">
        <v>65000</v>
      </c>
      <c r="G130" s="1"/>
    </row>
    <row r="131" spans="1:7">
      <c r="A131" s="4">
        <v>7</v>
      </c>
      <c r="B131" s="4">
        <v>5</v>
      </c>
      <c r="C131" s="4">
        <v>-3.6910000000000012E-2</v>
      </c>
      <c r="D131" s="4">
        <v>1.6520000000000007E-2</v>
      </c>
      <c r="E131" s="4">
        <v>-5.3440000000000022E-2</v>
      </c>
      <c r="F131" s="19">
        <v>84000</v>
      </c>
      <c r="G131" s="1"/>
    </row>
    <row r="132" spans="1:7">
      <c r="A132" s="4">
        <v>7</v>
      </c>
      <c r="B132" s="4">
        <v>6</v>
      </c>
      <c r="C132" s="4">
        <v>-2.2370000000000008E-2</v>
      </c>
      <c r="D132" s="4">
        <v>4.302000000000002E-3</v>
      </c>
      <c r="E132" s="4">
        <v>-2.667000000000001E-2</v>
      </c>
      <c r="F132" s="19">
        <v>91000</v>
      </c>
      <c r="G132" s="1"/>
    </row>
    <row r="133" spans="1:7">
      <c r="A133" s="4">
        <v>7</v>
      </c>
      <c r="B133" s="4">
        <v>7</v>
      </c>
      <c r="C133" s="4">
        <v>-1.2760000000000004E-3</v>
      </c>
      <c r="D133" s="4">
        <v>-1.0280000000000005E-3</v>
      </c>
      <c r="E133" s="4">
        <v>-2.474000000000001E-4</v>
      </c>
      <c r="F133" s="19">
        <v>94500</v>
      </c>
      <c r="G133" s="1"/>
    </row>
    <row r="134" spans="1:7">
      <c r="A134" s="4">
        <v>7</v>
      </c>
      <c r="B134" s="4">
        <v>8</v>
      </c>
      <c r="C134" s="4">
        <v>1.5860000000000006E-2</v>
      </c>
      <c r="D134" s="4">
        <v>-9.760000000000003E-3</v>
      </c>
      <c r="E134" s="4">
        <v>2.5620000000000011E-2</v>
      </c>
      <c r="F134" s="19">
        <v>79500</v>
      </c>
      <c r="G134" s="1"/>
    </row>
    <row r="135" spans="1:7">
      <c r="A135" s="4">
        <v>7</v>
      </c>
      <c r="B135" s="4">
        <v>9</v>
      </c>
      <c r="C135" s="4">
        <v>2.2590000000000009E-2</v>
      </c>
      <c r="D135" s="4">
        <v>-2.8630000000000013E-2</v>
      </c>
      <c r="E135" s="4">
        <v>5.1220000000000022E-2</v>
      </c>
      <c r="F135" s="19">
        <v>73000</v>
      </c>
      <c r="G135" s="1"/>
    </row>
    <row r="136" spans="1:7">
      <c r="A136" s="4">
        <v>7</v>
      </c>
      <c r="B136" s="4">
        <v>10</v>
      </c>
      <c r="C136" s="4">
        <v>5.536000000000002E-2</v>
      </c>
      <c r="D136" s="4">
        <v>-2.2710000000000008E-2</v>
      </c>
      <c r="E136" s="4">
        <v>7.8070000000000028E-2</v>
      </c>
      <c r="F136" s="19">
        <v>55500</v>
      </c>
      <c r="G136" s="1"/>
    </row>
    <row r="137" spans="1:7">
      <c r="A137" s="4">
        <v>7</v>
      </c>
      <c r="B137" s="4">
        <v>11</v>
      </c>
      <c r="C137" s="4">
        <v>7.9010000000000039E-2</v>
      </c>
      <c r="D137" s="4">
        <v>-2.4720000000000009E-2</v>
      </c>
      <c r="E137" s="4">
        <v>0.10370000000000003</v>
      </c>
      <c r="F137" s="19">
        <v>46500</v>
      </c>
      <c r="G137" s="1"/>
    </row>
    <row r="138" spans="1:7">
      <c r="A138" s="4">
        <v>7</v>
      </c>
      <c r="B138" s="4">
        <v>12</v>
      </c>
      <c r="C138" s="4">
        <v>9.3740000000000046E-2</v>
      </c>
      <c r="D138" s="4">
        <v>-3.7370000000000014E-2</v>
      </c>
      <c r="E138" s="4">
        <v>0.13110000000000005</v>
      </c>
      <c r="F138" s="19">
        <v>41000</v>
      </c>
      <c r="G138" s="1"/>
    </row>
    <row r="139" spans="1:7">
      <c r="A139" s="4">
        <v>7</v>
      </c>
      <c r="B139" s="4">
        <v>13</v>
      </c>
      <c r="C139" s="4">
        <v>0.11370000000000004</v>
      </c>
      <c r="D139" s="4">
        <v>-4.514000000000002E-2</v>
      </c>
      <c r="E139" s="4">
        <v>0.15890000000000004</v>
      </c>
      <c r="F139" s="19">
        <v>37000</v>
      </c>
      <c r="G139" s="1"/>
    </row>
    <row r="140" spans="1:7">
      <c r="A140" s="4">
        <v>7</v>
      </c>
      <c r="B140" s="4">
        <v>14</v>
      </c>
      <c r="C140" s="4">
        <v>0.13360000000000005</v>
      </c>
      <c r="D140" s="4">
        <v>-5.4560000000000025E-2</v>
      </c>
      <c r="E140" s="4">
        <v>0.18820000000000006</v>
      </c>
      <c r="F140" s="19">
        <v>33000</v>
      </c>
      <c r="G140" s="1"/>
    </row>
    <row r="141" spans="1:7">
      <c r="A141" s="4">
        <v>7</v>
      </c>
      <c r="B141" s="4">
        <v>15</v>
      </c>
      <c r="C141" s="4">
        <v>0.15200000000000005</v>
      </c>
      <c r="D141" s="4">
        <v>-6.9240000000000024E-2</v>
      </c>
      <c r="E141" s="4">
        <v>0.22120000000000006</v>
      </c>
      <c r="F141" s="19">
        <v>31500</v>
      </c>
      <c r="G141" s="1"/>
    </row>
    <row r="142" spans="1:7">
      <c r="A142" s="4">
        <v>7</v>
      </c>
      <c r="B142" s="4">
        <v>16</v>
      </c>
      <c r="C142" s="4">
        <v>0.18570000000000006</v>
      </c>
      <c r="D142" s="4">
        <v>-7.2460000000000024E-2</v>
      </c>
      <c r="E142" s="4">
        <v>0.2582000000000001</v>
      </c>
      <c r="F142" s="19">
        <v>25000</v>
      </c>
      <c r="G142" s="1"/>
    </row>
    <row r="143" spans="1:7">
      <c r="A143" s="4">
        <v>7</v>
      </c>
      <c r="B143" s="4">
        <v>17</v>
      </c>
      <c r="C143" s="4">
        <v>0.21510000000000007</v>
      </c>
      <c r="D143" s="4">
        <v>-8.6850000000000038E-2</v>
      </c>
      <c r="E143" s="4">
        <v>0.3020000000000001</v>
      </c>
      <c r="F143" s="19">
        <v>22000</v>
      </c>
      <c r="G143" s="1"/>
    </row>
    <row r="144" spans="1:7">
      <c r="A144" s="4">
        <v>7</v>
      </c>
      <c r="B144" s="4">
        <v>18</v>
      </c>
      <c r="C144" s="4">
        <v>0.25940000000000007</v>
      </c>
      <c r="D144" s="4">
        <v>-9.3630000000000033E-2</v>
      </c>
      <c r="E144" s="4">
        <v>0.35300000000000009</v>
      </c>
      <c r="F144" s="19">
        <v>16500</v>
      </c>
      <c r="G144" s="1"/>
    </row>
    <row r="145" spans="1:7">
      <c r="A145" s="4">
        <v>7</v>
      </c>
      <c r="B145" s="4">
        <v>19</v>
      </c>
      <c r="C145" s="4">
        <v>0.30140000000000011</v>
      </c>
      <c r="D145" s="4">
        <v>-0.12120000000000004</v>
      </c>
      <c r="E145" s="4">
        <v>0.42250000000000015</v>
      </c>
      <c r="F145" s="19">
        <v>14500</v>
      </c>
      <c r="G145" s="1"/>
    </row>
    <row r="146" spans="1:7">
      <c r="A146" s="4">
        <v>7</v>
      </c>
      <c r="B146" s="4">
        <v>20</v>
      </c>
      <c r="C146" s="4">
        <v>0.47410000000000013</v>
      </c>
      <c r="D146" s="4">
        <v>-0.11900000000000004</v>
      </c>
      <c r="E146" s="4">
        <v>0.59300000000000019</v>
      </c>
      <c r="F146" s="19">
        <v>11500</v>
      </c>
      <c r="G146" s="1"/>
    </row>
    <row r="147" spans="1:7">
      <c r="A147" s="4">
        <v>8</v>
      </c>
      <c r="B147" s="4">
        <v>1</v>
      </c>
      <c r="C147" s="4">
        <v>-0.34450000000000008</v>
      </c>
      <c r="D147" s="4">
        <v>3.2000000000000015E-2</v>
      </c>
      <c r="E147" s="4">
        <v>-0.37650000000000011</v>
      </c>
      <c r="F147" s="19">
        <v>25500</v>
      </c>
      <c r="G147" s="1"/>
    </row>
    <row r="148" spans="1:7">
      <c r="A148" s="4">
        <v>8</v>
      </c>
      <c r="B148" s="4">
        <v>2</v>
      </c>
      <c r="C148" s="4">
        <v>-0.17020000000000005</v>
      </c>
      <c r="D148" s="4">
        <v>3.1650000000000011E-2</v>
      </c>
      <c r="E148" s="4">
        <v>-0.20180000000000006</v>
      </c>
      <c r="F148" s="19">
        <v>31500</v>
      </c>
      <c r="G148" s="1"/>
    </row>
    <row r="149" spans="1:7">
      <c r="A149" s="4">
        <v>8</v>
      </c>
      <c r="B149" s="4">
        <v>3</v>
      </c>
      <c r="C149" s="4">
        <v>-0.11960000000000004</v>
      </c>
      <c r="D149" s="4">
        <v>2.9260000000000012E-2</v>
      </c>
      <c r="E149" s="4">
        <v>-0.14890000000000006</v>
      </c>
      <c r="F149" s="19">
        <v>37000</v>
      </c>
      <c r="G149" s="1"/>
    </row>
    <row r="150" spans="1:7">
      <c r="A150" s="4">
        <v>8</v>
      </c>
      <c r="B150" s="4">
        <v>4</v>
      </c>
      <c r="C150" s="4">
        <v>-8.0910000000000037E-2</v>
      </c>
      <c r="D150" s="4">
        <v>3.0660000000000014E-2</v>
      </c>
      <c r="E150" s="4">
        <v>-0.11160000000000003</v>
      </c>
      <c r="F150" s="19">
        <v>47000</v>
      </c>
      <c r="G150" s="1"/>
    </row>
    <row r="151" spans="1:7">
      <c r="A151" s="4">
        <v>8</v>
      </c>
      <c r="B151" s="4">
        <v>5</v>
      </c>
      <c r="C151" s="4">
        <v>-5.8860000000000023E-2</v>
      </c>
      <c r="D151" s="4">
        <v>2.1180000000000008E-2</v>
      </c>
      <c r="E151" s="4">
        <v>-8.0040000000000028E-2</v>
      </c>
      <c r="F151" s="19">
        <v>65000</v>
      </c>
      <c r="G151" s="1"/>
    </row>
    <row r="152" spans="1:7">
      <c r="A152" s="4">
        <v>8</v>
      </c>
      <c r="B152" s="4">
        <v>6</v>
      </c>
      <c r="C152" s="4">
        <v>-2.3310000000000011E-2</v>
      </c>
      <c r="D152" s="4">
        <v>2.844000000000001E-2</v>
      </c>
      <c r="E152" s="4">
        <v>-5.1750000000000025E-2</v>
      </c>
      <c r="F152" s="19">
        <v>88500</v>
      </c>
      <c r="G152" s="1"/>
    </row>
    <row r="153" spans="1:7">
      <c r="A153" s="4">
        <v>8</v>
      </c>
      <c r="B153" s="4">
        <v>7</v>
      </c>
      <c r="C153" s="4">
        <v>-1.9240000000000007E-2</v>
      </c>
      <c r="D153" s="4">
        <v>7.3110000000000024E-3</v>
      </c>
      <c r="E153" s="4">
        <v>-2.6550000000000011E-2</v>
      </c>
      <c r="F153" s="19">
        <v>87500</v>
      </c>
      <c r="G153" s="1"/>
    </row>
    <row r="154" spans="1:7">
      <c r="A154" s="4">
        <v>8</v>
      </c>
      <c r="B154" s="4">
        <v>8</v>
      </c>
      <c r="C154" s="4">
        <v>-9.6920000000000044E-3</v>
      </c>
      <c r="D154" s="4">
        <v>-8.9570000000000032E-3</v>
      </c>
      <c r="E154" s="4">
        <v>-7.3500000000000041E-4</v>
      </c>
      <c r="F154" s="19">
        <v>100000</v>
      </c>
      <c r="G154" s="1"/>
    </row>
    <row r="155" spans="1:7">
      <c r="A155" s="4">
        <v>8</v>
      </c>
      <c r="B155" s="4">
        <v>9</v>
      </c>
      <c r="C155" s="4">
        <v>2.250000000000001E-2</v>
      </c>
      <c r="D155" s="4">
        <v>-4.7700000000000017E-3</v>
      </c>
      <c r="E155" s="4">
        <v>2.7270000000000013E-2</v>
      </c>
      <c r="F155" s="19">
        <v>93000</v>
      </c>
      <c r="G155" s="1"/>
    </row>
    <row r="156" spans="1:7">
      <c r="A156" s="4">
        <v>8</v>
      </c>
      <c r="B156" s="4">
        <v>10</v>
      </c>
      <c r="C156" s="4">
        <v>3.2540000000000013E-2</v>
      </c>
      <c r="D156" s="4">
        <v>-1.8700000000000008E-2</v>
      </c>
      <c r="E156" s="4">
        <v>5.1240000000000022E-2</v>
      </c>
      <c r="F156" s="19">
        <v>68000</v>
      </c>
      <c r="G156" s="1"/>
    </row>
    <row r="157" spans="1:7">
      <c r="A157" s="4">
        <v>8</v>
      </c>
      <c r="B157" s="4">
        <v>11</v>
      </c>
      <c r="C157" s="4">
        <v>5.7690000000000026E-2</v>
      </c>
      <c r="D157" s="4">
        <v>-1.9220000000000008E-2</v>
      </c>
      <c r="E157" s="4">
        <v>7.6900000000000038E-2</v>
      </c>
      <c r="F157" s="19">
        <v>56500</v>
      </c>
      <c r="G157" s="1"/>
    </row>
    <row r="158" spans="1:7">
      <c r="A158" s="4">
        <v>8</v>
      </c>
      <c r="B158" s="4">
        <v>12</v>
      </c>
      <c r="C158" s="4">
        <v>7.377000000000003E-2</v>
      </c>
      <c r="D158" s="4">
        <v>-3.0350000000000012E-2</v>
      </c>
      <c r="E158" s="4">
        <v>0.10410000000000004</v>
      </c>
      <c r="F158" s="19">
        <v>50000</v>
      </c>
      <c r="G158" s="1"/>
    </row>
    <row r="159" spans="1:7">
      <c r="A159" s="4">
        <v>8</v>
      </c>
      <c r="B159" s="4">
        <v>13</v>
      </c>
      <c r="C159" s="4">
        <v>9.5160000000000036E-2</v>
      </c>
      <c r="D159" s="4">
        <v>-3.6950000000000018E-2</v>
      </c>
      <c r="E159" s="4">
        <v>0.13210000000000005</v>
      </c>
      <c r="F159" s="19">
        <v>42500</v>
      </c>
      <c r="G159" s="1"/>
    </row>
    <row r="160" spans="1:7">
      <c r="A160" s="4">
        <v>8</v>
      </c>
      <c r="B160" s="4">
        <v>14</v>
      </c>
      <c r="C160" s="4">
        <v>0.11590000000000003</v>
      </c>
      <c r="D160" s="4">
        <v>-4.5630000000000018E-2</v>
      </c>
      <c r="E160" s="4">
        <v>0.16150000000000006</v>
      </c>
      <c r="F160" s="19">
        <v>37500</v>
      </c>
      <c r="G160" s="1"/>
    </row>
    <row r="161" spans="1:7">
      <c r="A161" s="4">
        <v>8</v>
      </c>
      <c r="B161" s="4">
        <v>15</v>
      </c>
      <c r="C161" s="4">
        <v>0.13660000000000005</v>
      </c>
      <c r="D161" s="4">
        <v>-5.7480000000000024E-2</v>
      </c>
      <c r="E161" s="4">
        <v>0.19410000000000005</v>
      </c>
      <c r="F161" s="19">
        <v>32500</v>
      </c>
      <c r="G161" s="1"/>
    </row>
    <row r="162" spans="1:7">
      <c r="A162" s="4">
        <v>8</v>
      </c>
      <c r="B162" s="4">
        <v>16</v>
      </c>
      <c r="C162" s="4">
        <v>0.16420000000000004</v>
      </c>
      <c r="D162" s="4">
        <v>-6.7360000000000031E-2</v>
      </c>
      <c r="E162" s="4">
        <v>0.23150000000000007</v>
      </c>
      <c r="F162" s="19">
        <v>28500</v>
      </c>
      <c r="G162" s="1"/>
    </row>
    <row r="163" spans="1:7">
      <c r="A163" s="4">
        <v>8</v>
      </c>
      <c r="B163" s="4">
        <v>17</v>
      </c>
      <c r="C163" s="4">
        <v>0.19530000000000006</v>
      </c>
      <c r="D163" s="4">
        <v>-8.057000000000003E-2</v>
      </c>
      <c r="E163" s="4">
        <v>0.27590000000000009</v>
      </c>
      <c r="F163" s="19">
        <v>24000</v>
      </c>
      <c r="G163" s="1"/>
    </row>
    <row r="164" spans="1:7">
      <c r="A164" s="4">
        <v>8</v>
      </c>
      <c r="B164" s="4">
        <v>18</v>
      </c>
      <c r="C164" s="4">
        <v>0.22990000000000008</v>
      </c>
      <c r="D164" s="4">
        <v>-9.6650000000000041E-2</v>
      </c>
      <c r="E164" s="4">
        <v>0.32650000000000012</v>
      </c>
      <c r="F164" s="19">
        <v>19000</v>
      </c>
      <c r="G164" s="1"/>
    </row>
    <row r="165" spans="1:7">
      <c r="A165" s="4">
        <v>8</v>
      </c>
      <c r="B165" s="4">
        <v>19</v>
      </c>
      <c r="C165" s="4">
        <v>0.2899000000000001</v>
      </c>
      <c r="D165" s="4">
        <v>-0.10380000000000003</v>
      </c>
      <c r="E165" s="4">
        <v>0.39370000000000011</v>
      </c>
      <c r="F165" s="19">
        <v>16000</v>
      </c>
      <c r="G165" s="1"/>
    </row>
    <row r="166" spans="1:7">
      <c r="A166" s="4">
        <v>8</v>
      </c>
      <c r="B166" s="4">
        <v>20</v>
      </c>
      <c r="C166" s="4">
        <v>0.45120000000000016</v>
      </c>
      <c r="D166" s="4">
        <v>-0.11310000000000003</v>
      </c>
      <c r="E166" s="4">
        <v>0.56430000000000013</v>
      </c>
      <c r="F166" s="19">
        <v>13000</v>
      </c>
      <c r="G166" s="1"/>
    </row>
    <row r="167" spans="1:7">
      <c r="A167" s="4">
        <v>9</v>
      </c>
      <c r="B167" s="4">
        <v>1</v>
      </c>
      <c r="C167" s="4">
        <v>-0.37930000000000014</v>
      </c>
      <c r="D167" s="4">
        <v>3.0580000000000013E-2</v>
      </c>
      <c r="E167" s="4">
        <v>-0.40990000000000015</v>
      </c>
      <c r="F167" s="19">
        <v>22500</v>
      </c>
      <c r="G167" s="1"/>
    </row>
    <row r="168" spans="1:7">
      <c r="A168" s="4">
        <v>9</v>
      </c>
      <c r="B168" s="4">
        <v>2</v>
      </c>
      <c r="C168" s="4">
        <v>-0.19360000000000005</v>
      </c>
      <c r="D168" s="4">
        <v>3.5090000000000017E-2</v>
      </c>
      <c r="E168" s="4">
        <v>-0.22860000000000008</v>
      </c>
      <c r="F168" s="19">
        <v>26500</v>
      </c>
      <c r="G168" s="1"/>
    </row>
    <row r="169" spans="1:7">
      <c r="A169" s="4">
        <v>9</v>
      </c>
      <c r="B169" s="4">
        <v>3</v>
      </c>
      <c r="C169" s="4">
        <v>-0.14530000000000004</v>
      </c>
      <c r="D169" s="4">
        <v>3.0280000000000012E-2</v>
      </c>
      <c r="E169" s="4">
        <v>-0.17550000000000004</v>
      </c>
      <c r="F169" s="19">
        <v>30500</v>
      </c>
      <c r="G169" s="1"/>
    </row>
    <row r="170" spans="1:7">
      <c r="A170" s="4">
        <v>9</v>
      </c>
      <c r="B170" s="4">
        <v>4</v>
      </c>
      <c r="C170" s="4">
        <v>-0.10850000000000004</v>
      </c>
      <c r="D170" s="4">
        <v>2.9460000000000014E-2</v>
      </c>
      <c r="E170" s="4">
        <v>-0.13790000000000005</v>
      </c>
      <c r="F170" s="19">
        <v>36000</v>
      </c>
      <c r="G170" s="1"/>
    </row>
    <row r="171" spans="1:7">
      <c r="A171" s="4">
        <v>9</v>
      </c>
      <c r="B171" s="4">
        <v>5</v>
      </c>
      <c r="C171" s="4">
        <v>-7.5230000000000033E-2</v>
      </c>
      <c r="D171" s="4">
        <v>3.0730000000000014E-2</v>
      </c>
      <c r="E171" s="4">
        <v>-0.10600000000000004</v>
      </c>
      <c r="F171" s="19">
        <v>48500</v>
      </c>
      <c r="G171" s="1"/>
    </row>
    <row r="172" spans="1:7">
      <c r="A172" s="4">
        <v>9</v>
      </c>
      <c r="B172" s="4">
        <v>6</v>
      </c>
      <c r="C172" s="4">
        <v>-5.0800000000000019E-2</v>
      </c>
      <c r="D172" s="4">
        <v>2.6360000000000012E-2</v>
      </c>
      <c r="E172" s="4">
        <v>-7.7160000000000034E-2</v>
      </c>
      <c r="F172" s="19">
        <v>68000</v>
      </c>
      <c r="G172" s="1"/>
    </row>
    <row r="173" spans="1:7">
      <c r="A173" s="4">
        <v>9</v>
      </c>
      <c r="B173" s="4">
        <v>7</v>
      </c>
      <c r="C173" s="4">
        <v>-3.4510000000000013E-2</v>
      </c>
      <c r="D173" s="4">
        <v>1.7130000000000006E-2</v>
      </c>
      <c r="E173" s="4">
        <v>-5.1640000000000019E-2</v>
      </c>
      <c r="F173" s="19">
        <v>75500</v>
      </c>
      <c r="G173" s="1"/>
    </row>
    <row r="174" spans="1:7">
      <c r="A174" s="4">
        <v>9</v>
      </c>
      <c r="B174" s="4">
        <v>8</v>
      </c>
      <c r="C174" s="4">
        <v>-2.2010000000000009E-2</v>
      </c>
      <c r="D174" s="4">
        <v>3.8590000000000013E-3</v>
      </c>
      <c r="E174" s="4">
        <v>-2.5870000000000011E-2</v>
      </c>
      <c r="F174" s="19">
        <v>92000</v>
      </c>
      <c r="G174" s="1"/>
    </row>
    <row r="175" spans="1:7">
      <c r="A175" s="4">
        <v>9</v>
      </c>
      <c r="B175" s="4">
        <v>9</v>
      </c>
      <c r="C175" s="4">
        <v>8.9130000000000025E-3</v>
      </c>
      <c r="D175" s="4">
        <v>8.8190000000000039E-3</v>
      </c>
      <c r="E175" s="4">
        <v>9.4010000000000044E-5</v>
      </c>
      <c r="F175" s="19">
        <v>103000</v>
      </c>
      <c r="G175" s="1"/>
    </row>
    <row r="176" spans="1:7">
      <c r="A176" s="4">
        <v>9</v>
      </c>
      <c r="B176" s="4">
        <v>10</v>
      </c>
      <c r="C176" s="4">
        <v>2.299000000000001E-2</v>
      </c>
      <c r="D176" s="4">
        <v>-2.4100000000000011E-3</v>
      </c>
      <c r="E176" s="4">
        <v>2.5400000000000009E-2</v>
      </c>
      <c r="F176" s="19">
        <v>86000</v>
      </c>
      <c r="G176" s="1"/>
    </row>
    <row r="177" spans="1:7">
      <c r="A177" s="4">
        <v>9</v>
      </c>
      <c r="B177" s="4">
        <v>11</v>
      </c>
      <c r="C177" s="4">
        <v>3.3590000000000016E-2</v>
      </c>
      <c r="D177" s="4">
        <v>-1.7350000000000008E-2</v>
      </c>
      <c r="E177" s="4">
        <v>5.0930000000000024E-2</v>
      </c>
      <c r="F177" s="19">
        <v>69500</v>
      </c>
      <c r="G177" s="1"/>
    </row>
    <row r="178" spans="1:7">
      <c r="A178" s="4">
        <v>9</v>
      </c>
      <c r="B178" s="4">
        <v>12</v>
      </c>
      <c r="C178" s="4">
        <v>5.2510000000000022E-2</v>
      </c>
      <c r="D178" s="4">
        <v>-2.5520000000000011E-2</v>
      </c>
      <c r="E178" s="4">
        <v>7.803000000000003E-2</v>
      </c>
      <c r="F178" s="19">
        <v>63500</v>
      </c>
      <c r="G178" s="1"/>
    </row>
    <row r="179" spans="1:7">
      <c r="A179" s="4">
        <v>9</v>
      </c>
      <c r="B179" s="4">
        <v>13</v>
      </c>
      <c r="C179" s="4">
        <v>7.1100000000000024E-2</v>
      </c>
      <c r="D179" s="4">
        <v>-3.4990000000000014E-2</v>
      </c>
      <c r="E179" s="4">
        <v>0.10610000000000003</v>
      </c>
      <c r="F179" s="19">
        <v>53500</v>
      </c>
      <c r="G179" s="1"/>
    </row>
    <row r="180" spans="1:7">
      <c r="A180" s="4">
        <v>9</v>
      </c>
      <c r="B180" s="4">
        <v>14</v>
      </c>
      <c r="C180" s="4">
        <v>9.2340000000000033E-2</v>
      </c>
      <c r="D180" s="4">
        <v>-4.3220000000000015E-2</v>
      </c>
      <c r="E180" s="4">
        <v>0.13560000000000005</v>
      </c>
      <c r="F180" s="19">
        <v>44500</v>
      </c>
      <c r="G180" s="1"/>
    </row>
    <row r="181" spans="1:7">
      <c r="A181" s="4">
        <v>9</v>
      </c>
      <c r="B181" s="4">
        <v>15</v>
      </c>
      <c r="C181" s="4">
        <v>0.11540000000000003</v>
      </c>
      <c r="D181" s="4">
        <v>-5.230000000000002E-2</v>
      </c>
      <c r="E181" s="4">
        <v>0.16770000000000004</v>
      </c>
      <c r="F181" s="19">
        <v>38000</v>
      </c>
      <c r="G181" s="1"/>
    </row>
    <row r="182" spans="1:7">
      <c r="A182" s="4">
        <v>9</v>
      </c>
      <c r="B182" s="4">
        <v>16</v>
      </c>
      <c r="C182" s="4">
        <v>0.14010000000000006</v>
      </c>
      <c r="D182" s="4">
        <v>-6.4910000000000023E-2</v>
      </c>
      <c r="E182" s="4">
        <v>0.20500000000000007</v>
      </c>
      <c r="F182" s="19">
        <v>33500</v>
      </c>
      <c r="G182" s="1"/>
    </row>
    <row r="183" spans="1:7">
      <c r="A183" s="4">
        <v>9</v>
      </c>
      <c r="B183" s="4">
        <v>17</v>
      </c>
      <c r="C183" s="4">
        <v>0.17360000000000006</v>
      </c>
      <c r="D183" s="4">
        <v>-7.6100000000000029E-2</v>
      </c>
      <c r="E183" s="4">
        <v>0.24970000000000009</v>
      </c>
      <c r="F183" s="19">
        <v>28000</v>
      </c>
      <c r="G183" s="1"/>
    </row>
    <row r="184" spans="1:7">
      <c r="A184" s="4">
        <v>9</v>
      </c>
      <c r="B184" s="4">
        <v>18</v>
      </c>
      <c r="C184" s="4">
        <v>0.20950000000000008</v>
      </c>
      <c r="D184" s="4">
        <v>-9.0750000000000039E-2</v>
      </c>
      <c r="E184" s="4">
        <v>0.30020000000000008</v>
      </c>
      <c r="F184" s="19">
        <v>21000</v>
      </c>
      <c r="G184" s="1"/>
    </row>
    <row r="185" spans="1:7">
      <c r="A185" s="4">
        <v>9</v>
      </c>
      <c r="B185" s="4">
        <v>19</v>
      </c>
      <c r="C185" s="4">
        <v>0.26460000000000006</v>
      </c>
      <c r="D185" s="4">
        <v>-0.10310000000000004</v>
      </c>
      <c r="E185" s="4">
        <v>0.36760000000000009</v>
      </c>
      <c r="F185" s="19">
        <v>18000</v>
      </c>
      <c r="G185" s="1"/>
    </row>
    <row r="186" spans="1:7">
      <c r="A186" s="4">
        <v>9</v>
      </c>
      <c r="B186" s="4">
        <v>20</v>
      </c>
      <c r="C186" s="4">
        <v>0.40630000000000011</v>
      </c>
      <c r="D186" s="4">
        <v>-0.12670000000000003</v>
      </c>
      <c r="E186" s="4">
        <v>0.53300000000000014</v>
      </c>
      <c r="F186" s="19">
        <v>14500</v>
      </c>
      <c r="G186" s="1"/>
    </row>
    <row r="187" spans="1:7">
      <c r="A187" s="4">
        <v>10</v>
      </c>
      <c r="B187" s="4">
        <v>1</v>
      </c>
      <c r="C187" s="4">
        <v>-0.41230000000000011</v>
      </c>
      <c r="D187" s="4">
        <v>2.9890000000000014E-2</v>
      </c>
      <c r="E187" s="4">
        <v>-0.44220000000000015</v>
      </c>
      <c r="F187" s="19">
        <v>20000</v>
      </c>
      <c r="G187" s="1"/>
    </row>
    <row r="188" spans="1:7">
      <c r="A188" s="4">
        <v>10</v>
      </c>
      <c r="B188" s="4">
        <v>2</v>
      </c>
      <c r="C188" s="4">
        <v>-0.22310000000000008</v>
      </c>
      <c r="D188" s="4">
        <v>3.1570000000000015E-2</v>
      </c>
      <c r="E188" s="4">
        <v>-0.25470000000000009</v>
      </c>
      <c r="F188" s="19">
        <v>22500</v>
      </c>
      <c r="G188" s="1"/>
    </row>
    <row r="189" spans="1:7">
      <c r="A189" s="4">
        <v>10</v>
      </c>
      <c r="B189" s="4">
        <v>3</v>
      </c>
      <c r="C189" s="4">
        <v>-0.16350000000000006</v>
      </c>
      <c r="D189" s="4">
        <v>3.8000000000000013E-2</v>
      </c>
      <c r="E189" s="4">
        <v>-0.20150000000000007</v>
      </c>
      <c r="F189" s="19">
        <v>25000</v>
      </c>
      <c r="G189" s="1"/>
    </row>
    <row r="190" spans="1:7">
      <c r="A190" s="4">
        <v>10</v>
      </c>
      <c r="B190" s="4">
        <v>4</v>
      </c>
      <c r="C190" s="4">
        <v>-0.13020000000000004</v>
      </c>
      <c r="D190" s="4">
        <v>3.3620000000000011E-2</v>
      </c>
      <c r="E190" s="4">
        <v>-0.16380000000000006</v>
      </c>
      <c r="F190" s="19">
        <v>30000</v>
      </c>
      <c r="G190" s="1"/>
    </row>
    <row r="191" spans="1:7">
      <c r="A191" s="4">
        <v>10</v>
      </c>
      <c r="B191" s="4">
        <v>5</v>
      </c>
      <c r="C191" s="4">
        <v>-9.5050000000000037E-2</v>
      </c>
      <c r="D191" s="4">
        <v>3.7350000000000015E-2</v>
      </c>
      <c r="E191" s="4">
        <v>-0.13240000000000005</v>
      </c>
      <c r="F191" s="19">
        <v>37500</v>
      </c>
      <c r="G191" s="1"/>
    </row>
    <row r="192" spans="1:7">
      <c r="A192" s="4">
        <v>10</v>
      </c>
      <c r="B192" s="4">
        <v>6</v>
      </c>
      <c r="C192" s="4">
        <v>-7.180000000000003E-2</v>
      </c>
      <c r="D192" s="4">
        <v>3.2320000000000015E-2</v>
      </c>
      <c r="E192" s="4">
        <v>-0.10410000000000004</v>
      </c>
      <c r="F192" s="19">
        <v>49000</v>
      </c>
      <c r="G192" s="1"/>
    </row>
    <row r="193" spans="1:7">
      <c r="A193" s="4">
        <v>10</v>
      </c>
      <c r="B193" s="4">
        <v>7</v>
      </c>
      <c r="C193" s="4">
        <v>-5.511000000000002E-2</v>
      </c>
      <c r="D193" s="4">
        <v>2.2350000000000009E-2</v>
      </c>
      <c r="E193" s="4">
        <v>-7.7460000000000029E-2</v>
      </c>
      <c r="F193" s="19">
        <v>60500</v>
      </c>
      <c r="G193" s="1"/>
    </row>
    <row r="194" spans="1:7">
      <c r="A194" s="4">
        <v>10</v>
      </c>
      <c r="B194" s="4">
        <v>8</v>
      </c>
      <c r="C194" s="4">
        <v>-3.9560000000000019E-2</v>
      </c>
      <c r="D194" s="4">
        <v>1.2400000000000005E-2</v>
      </c>
      <c r="E194" s="4">
        <v>-5.196000000000002E-2</v>
      </c>
      <c r="F194" s="19">
        <v>87000</v>
      </c>
      <c r="G194" s="1"/>
    </row>
    <row r="195" spans="1:7">
      <c r="A195" s="4">
        <v>10</v>
      </c>
      <c r="B195" s="4">
        <v>9</v>
      </c>
      <c r="C195" s="4">
        <v>-8.7680000000000032E-3</v>
      </c>
      <c r="D195" s="4">
        <v>1.6170000000000007E-2</v>
      </c>
      <c r="E195" s="4">
        <v>-2.4940000000000011E-2</v>
      </c>
      <c r="F195" s="19">
        <v>96500</v>
      </c>
      <c r="G195" s="1"/>
    </row>
    <row r="196" spans="1:7">
      <c r="A196" s="4">
        <v>10</v>
      </c>
      <c r="B196" s="4">
        <v>10</v>
      </c>
      <c r="C196" s="4">
        <v>6.9120000000000023E-3</v>
      </c>
      <c r="D196" s="4">
        <v>7.0780000000000027E-3</v>
      </c>
      <c r="E196" s="4">
        <v>-1.6630000000000008E-4</v>
      </c>
      <c r="F196" s="19">
        <v>111000</v>
      </c>
      <c r="G196" s="1"/>
    </row>
    <row r="197" spans="1:7">
      <c r="A197" s="4">
        <v>10</v>
      </c>
      <c r="B197" s="4">
        <v>11</v>
      </c>
      <c r="C197" s="4">
        <v>1.3540000000000005E-2</v>
      </c>
      <c r="D197" s="4">
        <v>-1.1470000000000004E-2</v>
      </c>
      <c r="E197" s="4">
        <v>2.5010000000000011E-2</v>
      </c>
      <c r="F197" s="19">
        <v>94500</v>
      </c>
      <c r="G197" s="1"/>
    </row>
    <row r="198" spans="1:7">
      <c r="A198" s="4">
        <v>10</v>
      </c>
      <c r="B198" s="4">
        <v>12</v>
      </c>
      <c r="C198" s="4">
        <v>4.2040000000000015E-2</v>
      </c>
      <c r="D198" s="4">
        <v>-1.0080000000000004E-2</v>
      </c>
      <c r="E198" s="4">
        <v>5.212000000000002E-2</v>
      </c>
      <c r="F198" s="19">
        <v>75500</v>
      </c>
      <c r="G198" s="1"/>
    </row>
    <row r="199" spans="1:7">
      <c r="A199" s="4">
        <v>10</v>
      </c>
      <c r="B199" s="4">
        <v>13</v>
      </c>
      <c r="C199" s="4">
        <v>5.1640000000000019E-2</v>
      </c>
      <c r="D199" s="4">
        <v>-2.8250000000000011E-2</v>
      </c>
      <c r="E199" s="4">
        <v>7.989000000000003E-2</v>
      </c>
      <c r="F199" s="19">
        <v>62000</v>
      </c>
      <c r="G199" s="1"/>
    </row>
    <row r="200" spans="1:7">
      <c r="A200" s="4">
        <v>10</v>
      </c>
      <c r="B200" s="4">
        <v>14</v>
      </c>
      <c r="C200" s="4">
        <v>7.5520000000000032E-2</v>
      </c>
      <c r="D200" s="4">
        <v>-3.3840000000000016E-2</v>
      </c>
      <c r="E200" s="4">
        <v>0.10940000000000004</v>
      </c>
      <c r="F200" s="19">
        <v>51000</v>
      </c>
      <c r="G200" s="1"/>
    </row>
    <row r="201" spans="1:7">
      <c r="A201" s="4">
        <v>10</v>
      </c>
      <c r="B201" s="4">
        <v>15</v>
      </c>
      <c r="C201" s="4">
        <v>9.7320000000000045E-2</v>
      </c>
      <c r="D201" s="4">
        <v>-4.4370000000000021E-2</v>
      </c>
      <c r="E201" s="4">
        <v>0.14170000000000005</v>
      </c>
      <c r="F201" s="19">
        <v>46000</v>
      </c>
      <c r="G201" s="1"/>
    </row>
    <row r="202" spans="1:7">
      <c r="A202" s="4">
        <v>10</v>
      </c>
      <c r="B202" s="4">
        <v>16</v>
      </c>
      <c r="C202" s="4">
        <v>0.12140000000000004</v>
      </c>
      <c r="D202" s="4">
        <v>-5.7630000000000021E-2</v>
      </c>
      <c r="E202" s="4">
        <v>0.17900000000000005</v>
      </c>
      <c r="F202" s="19">
        <v>39000</v>
      </c>
      <c r="G202" s="1"/>
    </row>
    <row r="203" spans="1:7">
      <c r="A203" s="4">
        <v>10</v>
      </c>
      <c r="B203" s="4">
        <v>17</v>
      </c>
      <c r="C203" s="4">
        <v>0.15720000000000006</v>
      </c>
      <c r="D203" s="4">
        <v>-6.6200000000000023E-2</v>
      </c>
      <c r="E203" s="4">
        <v>0.22340000000000007</v>
      </c>
      <c r="F203" s="19">
        <v>32500</v>
      </c>
      <c r="G203" s="1"/>
    </row>
    <row r="204" spans="1:7">
      <c r="A204" s="4">
        <v>10</v>
      </c>
      <c r="B204" s="4">
        <v>18</v>
      </c>
      <c r="C204" s="4">
        <v>0.19260000000000005</v>
      </c>
      <c r="D204" s="4">
        <v>-8.168000000000003E-2</v>
      </c>
      <c r="E204" s="4">
        <v>0.2743000000000001</v>
      </c>
      <c r="F204" s="19">
        <v>24000</v>
      </c>
      <c r="G204" s="1"/>
    </row>
    <row r="205" spans="1:7">
      <c r="A205" s="4">
        <v>10</v>
      </c>
      <c r="B205" s="4">
        <v>19</v>
      </c>
      <c r="C205" s="4">
        <v>0.24440000000000009</v>
      </c>
      <c r="D205" s="4">
        <v>-9.6830000000000041E-2</v>
      </c>
      <c r="E205" s="4">
        <v>0.34120000000000011</v>
      </c>
      <c r="F205" s="19">
        <v>21000</v>
      </c>
      <c r="G205" s="1"/>
    </row>
    <row r="206" spans="1:7">
      <c r="A206" s="4">
        <v>10</v>
      </c>
      <c r="B206" s="4">
        <v>20</v>
      </c>
      <c r="C206" s="4">
        <v>0.39880000000000015</v>
      </c>
      <c r="D206" s="4">
        <v>-0.11330000000000004</v>
      </c>
      <c r="E206" s="4">
        <v>0.51210000000000011</v>
      </c>
      <c r="F206" s="19">
        <v>17000</v>
      </c>
      <c r="G206" s="1"/>
    </row>
    <row r="207" spans="1:7">
      <c r="A207" s="4">
        <v>11</v>
      </c>
      <c r="B207" s="4">
        <v>1</v>
      </c>
      <c r="C207" s="4">
        <v>-0.45030000000000014</v>
      </c>
      <c r="D207" s="4">
        <v>2.4340000000000011E-2</v>
      </c>
      <c r="E207" s="4">
        <v>-0.47470000000000018</v>
      </c>
      <c r="F207" s="19">
        <v>18000</v>
      </c>
      <c r="G207" s="1"/>
    </row>
    <row r="208" spans="1:7">
      <c r="A208" s="4">
        <v>11</v>
      </c>
      <c r="B208" s="4">
        <v>2</v>
      </c>
      <c r="C208" s="4">
        <v>-0.24950000000000008</v>
      </c>
      <c r="D208" s="4">
        <v>3.0780000000000012E-2</v>
      </c>
      <c r="E208" s="4">
        <v>-0.2803000000000001</v>
      </c>
      <c r="F208" s="19">
        <v>19000</v>
      </c>
      <c r="G208" s="1"/>
    </row>
    <row r="209" spans="1:7">
      <c r="A209" s="4">
        <v>11</v>
      </c>
      <c r="B209" s="4">
        <v>3</v>
      </c>
      <c r="C209" s="4">
        <v>-0.19720000000000007</v>
      </c>
      <c r="D209" s="4">
        <v>3.0190000000000012E-2</v>
      </c>
      <c r="E209" s="4">
        <v>-0.22740000000000007</v>
      </c>
      <c r="F209" s="19">
        <v>21000</v>
      </c>
      <c r="G209" s="1"/>
    </row>
    <row r="210" spans="1:7">
      <c r="A210" s="4">
        <v>11</v>
      </c>
      <c r="B210" s="4">
        <v>4</v>
      </c>
      <c r="C210" s="4">
        <v>-0.15250000000000005</v>
      </c>
      <c r="D210" s="4">
        <v>3.7480000000000013E-2</v>
      </c>
      <c r="E210" s="4">
        <v>-0.19000000000000006</v>
      </c>
      <c r="F210" s="19">
        <v>24500</v>
      </c>
      <c r="G210" s="1"/>
    </row>
    <row r="211" spans="1:7">
      <c r="A211" s="4">
        <v>11</v>
      </c>
      <c r="B211" s="4">
        <v>5</v>
      </c>
      <c r="C211" s="4">
        <v>-0.12070000000000004</v>
      </c>
      <c r="D211" s="4">
        <v>3.7650000000000017E-2</v>
      </c>
      <c r="E211" s="4">
        <v>-0.15840000000000004</v>
      </c>
      <c r="F211" s="19">
        <v>31000</v>
      </c>
      <c r="G211" s="1"/>
    </row>
    <row r="212" spans="1:7">
      <c r="A212" s="4">
        <v>11</v>
      </c>
      <c r="B212" s="4">
        <v>6</v>
      </c>
      <c r="C212" s="4">
        <v>-8.6210000000000037E-2</v>
      </c>
      <c r="D212" s="4">
        <v>4.3980000000000019E-2</v>
      </c>
      <c r="E212" s="4">
        <v>-0.13020000000000004</v>
      </c>
      <c r="F212" s="19">
        <v>36000</v>
      </c>
      <c r="G212" s="1"/>
    </row>
    <row r="213" spans="1:7">
      <c r="A213" s="4">
        <v>11</v>
      </c>
      <c r="B213" s="4">
        <v>7</v>
      </c>
      <c r="C213" s="4">
        <v>-6.8600000000000022E-2</v>
      </c>
      <c r="D213" s="4">
        <v>3.4660000000000017E-2</v>
      </c>
      <c r="E213" s="4">
        <v>-0.10330000000000003</v>
      </c>
      <c r="F213" s="19">
        <v>47000</v>
      </c>
      <c r="G213" s="1"/>
    </row>
    <row r="214" spans="1:7">
      <c r="A214" s="4">
        <v>11</v>
      </c>
      <c r="B214" s="4">
        <v>8</v>
      </c>
      <c r="C214" s="4">
        <v>-5.0270000000000023E-2</v>
      </c>
      <c r="D214" s="4">
        <v>2.674000000000001E-2</v>
      </c>
      <c r="E214" s="4">
        <v>-7.7010000000000037E-2</v>
      </c>
      <c r="F214" s="19">
        <v>63000</v>
      </c>
      <c r="G214" s="1"/>
    </row>
    <row r="215" spans="1:7">
      <c r="A215" s="4">
        <v>11</v>
      </c>
      <c r="B215" s="4">
        <v>9</v>
      </c>
      <c r="C215" s="4">
        <v>-3.6790000000000017E-2</v>
      </c>
      <c r="D215" s="4">
        <v>1.3810000000000006E-2</v>
      </c>
      <c r="E215" s="4">
        <v>-5.060000000000002E-2</v>
      </c>
      <c r="F215" s="19">
        <v>78500</v>
      </c>
      <c r="G215" s="1"/>
    </row>
    <row r="216" spans="1:7">
      <c r="A216" s="4">
        <v>11</v>
      </c>
      <c r="B216" s="4">
        <v>10</v>
      </c>
      <c r="C216" s="4">
        <v>-7.6180000000000032E-3</v>
      </c>
      <c r="D216" s="4">
        <v>1.7400000000000006E-2</v>
      </c>
      <c r="E216" s="4">
        <v>-2.5020000000000011E-2</v>
      </c>
      <c r="F216" s="19">
        <v>93000</v>
      </c>
      <c r="G216" s="1"/>
    </row>
    <row r="217" spans="1:7">
      <c r="A217" s="4">
        <v>11</v>
      </c>
      <c r="B217" s="4">
        <v>11</v>
      </c>
      <c r="C217" s="4">
        <v>-1.5200000000000007E-2</v>
      </c>
      <c r="D217" s="4">
        <v>-1.4170000000000006E-2</v>
      </c>
      <c r="E217" s="4">
        <v>-1.0300000000000003E-3</v>
      </c>
      <c r="F217" s="19">
        <v>110000</v>
      </c>
      <c r="G217" s="1"/>
    </row>
    <row r="218" spans="1:7">
      <c r="A218" s="4">
        <v>11</v>
      </c>
      <c r="B218" s="4">
        <v>12</v>
      </c>
      <c r="C218" s="4">
        <v>2.5590000000000012E-2</v>
      </c>
      <c r="D218" s="4">
        <v>1.915000000000001E-4</v>
      </c>
      <c r="E218" s="4">
        <v>2.5400000000000009E-2</v>
      </c>
      <c r="F218" s="19">
        <v>96000</v>
      </c>
      <c r="G218" s="1"/>
    </row>
    <row r="219" spans="1:7">
      <c r="A219" s="4">
        <v>11</v>
      </c>
      <c r="B219" s="4">
        <v>13</v>
      </c>
      <c r="C219" s="4">
        <v>4.0460000000000017E-2</v>
      </c>
      <c r="D219" s="4">
        <v>-1.3600000000000006E-2</v>
      </c>
      <c r="E219" s="4">
        <v>5.4060000000000025E-2</v>
      </c>
      <c r="F219" s="19">
        <v>77500</v>
      </c>
      <c r="G219" s="1"/>
    </row>
    <row r="220" spans="1:7">
      <c r="A220" s="4">
        <v>11</v>
      </c>
      <c r="B220" s="4">
        <v>14</v>
      </c>
      <c r="C220" s="4">
        <v>6.0940000000000029E-2</v>
      </c>
      <c r="D220" s="4">
        <v>-2.2690000000000009E-2</v>
      </c>
      <c r="E220" s="4">
        <v>8.3630000000000038E-2</v>
      </c>
      <c r="F220" s="19">
        <v>64500</v>
      </c>
      <c r="G220" s="1"/>
    </row>
    <row r="221" spans="1:7">
      <c r="A221" s="4">
        <v>11</v>
      </c>
      <c r="B221" s="4">
        <v>15</v>
      </c>
      <c r="C221" s="4">
        <v>7.7940000000000037E-2</v>
      </c>
      <c r="D221" s="4">
        <v>-3.7870000000000015E-2</v>
      </c>
      <c r="E221" s="4">
        <v>0.11580000000000004</v>
      </c>
      <c r="F221" s="19">
        <v>53500</v>
      </c>
      <c r="G221" s="1"/>
    </row>
    <row r="222" spans="1:7">
      <c r="A222" s="4">
        <v>11</v>
      </c>
      <c r="B222" s="4">
        <v>16</v>
      </c>
      <c r="C222" s="4">
        <v>0.10980000000000004</v>
      </c>
      <c r="D222" s="4">
        <v>-4.3590000000000018E-2</v>
      </c>
      <c r="E222" s="4">
        <v>0.15340000000000004</v>
      </c>
      <c r="F222" s="19">
        <v>46000</v>
      </c>
      <c r="G222" s="1"/>
    </row>
    <row r="223" spans="1:7">
      <c r="A223" s="4">
        <v>11</v>
      </c>
      <c r="B223" s="4">
        <v>17</v>
      </c>
      <c r="C223" s="4">
        <v>0.13820000000000005</v>
      </c>
      <c r="D223" s="4">
        <v>-5.9970000000000023E-2</v>
      </c>
      <c r="E223" s="4">
        <v>0.19820000000000007</v>
      </c>
      <c r="F223" s="19">
        <v>38000</v>
      </c>
      <c r="G223" s="1"/>
    </row>
    <row r="224" spans="1:7">
      <c r="A224" s="4">
        <v>11</v>
      </c>
      <c r="B224" s="4">
        <v>18</v>
      </c>
      <c r="C224" s="4">
        <v>0.17260000000000006</v>
      </c>
      <c r="D224" s="4">
        <v>-7.5600000000000028E-2</v>
      </c>
      <c r="E224" s="4">
        <v>0.24820000000000009</v>
      </c>
      <c r="F224" s="19">
        <v>29000</v>
      </c>
      <c r="G224" s="1"/>
    </row>
    <row r="225" spans="1:7">
      <c r="A225" s="4">
        <v>11</v>
      </c>
      <c r="B225" s="4">
        <v>19</v>
      </c>
      <c r="C225" s="4">
        <v>0.21680000000000008</v>
      </c>
      <c r="D225" s="4">
        <v>-9.8410000000000039E-2</v>
      </c>
      <c r="E225" s="4">
        <v>0.31530000000000008</v>
      </c>
      <c r="F225" s="19">
        <v>24000</v>
      </c>
      <c r="G225" s="1"/>
    </row>
    <row r="226" spans="1:7">
      <c r="A226" s="4">
        <v>11</v>
      </c>
      <c r="B226" s="4">
        <v>20</v>
      </c>
      <c r="C226" s="4">
        <v>0.37350000000000011</v>
      </c>
      <c r="D226" s="4">
        <v>-0.11090000000000004</v>
      </c>
      <c r="E226" s="4">
        <v>0.48430000000000017</v>
      </c>
      <c r="F226" s="19">
        <v>19000</v>
      </c>
      <c r="G226" s="1"/>
    </row>
    <row r="227" spans="1:7">
      <c r="A227" s="4">
        <v>12</v>
      </c>
      <c r="B227" s="4">
        <v>1</v>
      </c>
      <c r="C227" s="4">
        <v>-0.48530000000000018</v>
      </c>
      <c r="D227" s="4">
        <v>2.360000000000001E-2</v>
      </c>
      <c r="E227" s="4">
        <v>-0.50890000000000013</v>
      </c>
      <c r="F227" s="19">
        <v>16000</v>
      </c>
      <c r="G227" s="1"/>
    </row>
    <row r="228" spans="1:7">
      <c r="A228" s="4">
        <v>12</v>
      </c>
      <c r="B228" s="4">
        <v>2</v>
      </c>
      <c r="C228" s="4">
        <v>-0.28830000000000011</v>
      </c>
      <c r="D228" s="4">
        <v>1.9310000000000008E-2</v>
      </c>
      <c r="E228" s="4">
        <v>-0.3076000000000001</v>
      </c>
      <c r="F228" s="19">
        <v>16500</v>
      </c>
      <c r="G228" s="1"/>
    </row>
    <row r="229" spans="1:7">
      <c r="A229" s="4">
        <v>12</v>
      </c>
      <c r="B229" s="4">
        <v>3</v>
      </c>
      <c r="C229" s="4">
        <v>-0.22150000000000006</v>
      </c>
      <c r="D229" s="4">
        <v>3.3170000000000012E-2</v>
      </c>
      <c r="E229" s="4">
        <v>-0.25470000000000009</v>
      </c>
      <c r="F229" s="19">
        <v>18000</v>
      </c>
      <c r="G229" s="1"/>
    </row>
    <row r="230" spans="1:7">
      <c r="A230" s="4">
        <v>12</v>
      </c>
      <c r="B230" s="4">
        <v>4</v>
      </c>
      <c r="C230" s="4">
        <v>-0.18270000000000006</v>
      </c>
      <c r="D230" s="4">
        <v>3.4230000000000017E-2</v>
      </c>
      <c r="E230" s="4">
        <v>-0.21700000000000008</v>
      </c>
      <c r="F230" s="19">
        <v>21500</v>
      </c>
      <c r="G230" s="1"/>
    </row>
    <row r="231" spans="1:7">
      <c r="A231" s="4">
        <v>12</v>
      </c>
      <c r="B231" s="4">
        <v>5</v>
      </c>
      <c r="C231" s="4">
        <v>-0.14790000000000006</v>
      </c>
      <c r="D231" s="4">
        <v>3.7360000000000018E-2</v>
      </c>
      <c r="E231" s="4">
        <v>-0.18530000000000005</v>
      </c>
      <c r="F231" s="19">
        <v>25000</v>
      </c>
      <c r="G231" s="1"/>
    </row>
    <row r="232" spans="1:7">
      <c r="A232" s="4">
        <v>12</v>
      </c>
      <c r="B232" s="4">
        <v>6</v>
      </c>
      <c r="C232" s="4">
        <v>-0.11640000000000003</v>
      </c>
      <c r="D232" s="4">
        <v>4.0870000000000017E-2</v>
      </c>
      <c r="E232" s="4">
        <v>-0.15720000000000006</v>
      </c>
      <c r="F232" s="19">
        <v>31000</v>
      </c>
      <c r="G232" s="1"/>
    </row>
    <row r="233" spans="1:7">
      <c r="A233" s="4">
        <v>12</v>
      </c>
      <c r="B233" s="4">
        <v>7</v>
      </c>
      <c r="C233" s="4">
        <v>-9.0100000000000041E-2</v>
      </c>
      <c r="D233" s="4">
        <v>4.0610000000000014E-2</v>
      </c>
      <c r="E233" s="4">
        <v>-0.13070000000000004</v>
      </c>
      <c r="F233" s="19">
        <v>36500</v>
      </c>
      <c r="G233" s="1"/>
    </row>
    <row r="234" spans="1:7">
      <c r="A234" s="4">
        <v>12</v>
      </c>
      <c r="B234" s="4">
        <v>8</v>
      </c>
      <c r="C234" s="4">
        <v>-6.7320000000000033E-2</v>
      </c>
      <c r="D234" s="4">
        <v>3.6330000000000015E-2</v>
      </c>
      <c r="E234" s="4">
        <v>-0.10360000000000004</v>
      </c>
      <c r="F234" s="19">
        <v>49500</v>
      </c>
      <c r="G234" s="1"/>
    </row>
    <row r="235" spans="1:7">
      <c r="A235" s="4">
        <v>12</v>
      </c>
      <c r="B235" s="4">
        <v>9</v>
      </c>
      <c r="C235" s="4">
        <v>-4.566000000000002E-2</v>
      </c>
      <c r="D235" s="4">
        <v>3.1440000000000017E-2</v>
      </c>
      <c r="E235" s="4">
        <v>-7.710000000000003E-2</v>
      </c>
      <c r="F235" s="19">
        <v>62000</v>
      </c>
      <c r="G235" s="1"/>
    </row>
    <row r="236" spans="1:7">
      <c r="A236" s="4">
        <v>12</v>
      </c>
      <c r="B236" s="4">
        <v>10</v>
      </c>
      <c r="C236" s="4">
        <v>-2.5620000000000011E-2</v>
      </c>
      <c r="D236" s="4">
        <v>2.6600000000000013E-2</v>
      </c>
      <c r="E236" s="4">
        <v>-5.2220000000000023E-2</v>
      </c>
      <c r="F236" s="19">
        <v>81000</v>
      </c>
      <c r="G236" s="1"/>
    </row>
    <row r="237" spans="1:7">
      <c r="A237" s="4">
        <v>12</v>
      </c>
      <c r="B237" s="4">
        <v>11</v>
      </c>
      <c r="C237" s="4">
        <v>-1.5870000000000006E-2</v>
      </c>
      <c r="D237" s="4">
        <v>9.4280000000000041E-3</v>
      </c>
      <c r="E237" s="4">
        <v>-2.529000000000001E-2</v>
      </c>
      <c r="F237" s="19">
        <v>113000</v>
      </c>
      <c r="G237" s="1"/>
    </row>
    <row r="238" spans="1:7">
      <c r="A238" s="4">
        <v>12</v>
      </c>
      <c r="B238" s="4">
        <v>12</v>
      </c>
      <c r="C238" s="4">
        <v>5.1170000000000018E-3</v>
      </c>
      <c r="D238" s="4">
        <v>5.5870000000000017E-3</v>
      </c>
      <c r="E238" s="4">
        <v>-4.6970000000000025E-4</v>
      </c>
      <c r="F238" s="19">
        <v>128000</v>
      </c>
      <c r="G238" s="1"/>
    </row>
    <row r="239" spans="1:7">
      <c r="A239" s="4">
        <v>12</v>
      </c>
      <c r="B239" s="4">
        <v>13</v>
      </c>
      <c r="C239" s="4">
        <v>1.7990000000000006E-2</v>
      </c>
      <c r="D239" s="4">
        <v>-8.8660000000000041E-3</v>
      </c>
      <c r="E239" s="4">
        <v>2.6850000000000013E-2</v>
      </c>
      <c r="F239" s="19">
        <v>107000</v>
      </c>
      <c r="G239" s="1"/>
    </row>
    <row r="240" spans="1:7">
      <c r="A240" s="4">
        <v>12</v>
      </c>
      <c r="B240" s="4">
        <v>14</v>
      </c>
      <c r="C240" s="4">
        <v>3.7470000000000017E-2</v>
      </c>
      <c r="D240" s="4">
        <v>-1.8960000000000008E-2</v>
      </c>
      <c r="E240" s="4">
        <v>5.6430000000000022E-2</v>
      </c>
      <c r="F240" s="19">
        <v>83000</v>
      </c>
      <c r="G240" s="1"/>
    </row>
    <row r="241" spans="1:7">
      <c r="A241" s="4">
        <v>12</v>
      </c>
      <c r="B241" s="4">
        <v>15</v>
      </c>
      <c r="C241" s="4">
        <v>5.3920000000000023E-2</v>
      </c>
      <c r="D241" s="4">
        <v>-3.3660000000000016E-2</v>
      </c>
      <c r="E241" s="4">
        <v>8.7580000000000033E-2</v>
      </c>
      <c r="F241" s="19">
        <v>69500</v>
      </c>
      <c r="G241" s="1"/>
    </row>
    <row r="242" spans="1:7">
      <c r="A242" s="4">
        <v>12</v>
      </c>
      <c r="B242" s="4">
        <v>16</v>
      </c>
      <c r="C242" s="4">
        <v>8.3530000000000035E-2</v>
      </c>
      <c r="D242" s="4">
        <v>-4.269000000000002E-2</v>
      </c>
      <c r="E242" s="4">
        <v>0.12620000000000003</v>
      </c>
      <c r="F242" s="19">
        <v>56000</v>
      </c>
      <c r="G242" s="1"/>
    </row>
    <row r="243" spans="1:7">
      <c r="A243" s="4">
        <v>12</v>
      </c>
      <c r="B243" s="4">
        <v>17</v>
      </c>
      <c r="C243" s="4">
        <v>0.11470000000000004</v>
      </c>
      <c r="D243" s="4">
        <v>-5.6320000000000023E-2</v>
      </c>
      <c r="E243" s="4">
        <v>0.17100000000000004</v>
      </c>
      <c r="F243" s="19">
        <v>43500</v>
      </c>
      <c r="G243" s="1"/>
    </row>
    <row r="244" spans="1:7">
      <c r="A244" s="4">
        <v>12</v>
      </c>
      <c r="B244" s="4">
        <v>18</v>
      </c>
      <c r="C244" s="4">
        <v>0.14980000000000004</v>
      </c>
      <c r="D244" s="4">
        <v>-7.1510000000000032E-2</v>
      </c>
      <c r="E244" s="4">
        <v>0.22130000000000008</v>
      </c>
      <c r="F244" s="19">
        <v>33000</v>
      </c>
      <c r="G244" s="1"/>
    </row>
    <row r="245" spans="1:7">
      <c r="A245" s="4">
        <v>12</v>
      </c>
      <c r="B245" s="4">
        <v>19</v>
      </c>
      <c r="C245" s="4">
        <v>0.20200000000000007</v>
      </c>
      <c r="D245" s="4">
        <v>-8.6600000000000038E-2</v>
      </c>
      <c r="E245" s="4">
        <v>0.28860000000000008</v>
      </c>
      <c r="F245" s="19">
        <v>27000</v>
      </c>
      <c r="G245" s="1"/>
    </row>
    <row r="246" spans="1:7">
      <c r="A246" s="4">
        <v>12</v>
      </c>
      <c r="B246" s="4">
        <v>20</v>
      </c>
      <c r="C246" s="4">
        <v>0.33200000000000013</v>
      </c>
      <c r="D246" s="4">
        <v>-0.12400000000000004</v>
      </c>
      <c r="E246" s="4">
        <v>0.45590000000000014</v>
      </c>
      <c r="F246" s="19">
        <v>21500</v>
      </c>
      <c r="G246" s="1"/>
    </row>
    <row r="247" spans="1:7">
      <c r="A247" s="4">
        <v>13</v>
      </c>
      <c r="B247" s="4">
        <v>1</v>
      </c>
      <c r="C247" s="4">
        <v>-0.53060000000000018</v>
      </c>
      <c r="D247" s="4">
        <v>1.1790000000000005E-2</v>
      </c>
      <c r="E247" s="4">
        <v>-0.54240000000000022</v>
      </c>
      <c r="F247" s="19">
        <v>14000</v>
      </c>
      <c r="G247" s="1"/>
    </row>
    <row r="248" spans="1:7">
      <c r="A248" s="4">
        <v>13</v>
      </c>
      <c r="B248" s="4">
        <v>2</v>
      </c>
      <c r="C248" s="4">
        <v>-0.31600000000000011</v>
      </c>
      <c r="D248" s="4">
        <v>1.969000000000001E-2</v>
      </c>
      <c r="E248" s="4">
        <v>-0.33570000000000011</v>
      </c>
      <c r="F248" s="19">
        <v>14000</v>
      </c>
      <c r="G248" s="1"/>
    </row>
    <row r="249" spans="1:7">
      <c r="A249" s="4">
        <v>13</v>
      </c>
      <c r="B249" s="4">
        <v>3</v>
      </c>
      <c r="C249" s="4">
        <v>-0.2602000000000001</v>
      </c>
      <c r="D249" s="4">
        <v>2.2200000000000008E-2</v>
      </c>
      <c r="E249" s="4">
        <v>-0.2824000000000001</v>
      </c>
      <c r="F249" s="19">
        <v>14500</v>
      </c>
      <c r="G249" s="1"/>
    </row>
    <row r="250" spans="1:7">
      <c r="A250" s="4">
        <v>13</v>
      </c>
      <c r="B250" s="4">
        <v>4</v>
      </c>
      <c r="C250" s="4">
        <v>-0.21360000000000007</v>
      </c>
      <c r="D250" s="4">
        <v>3.1330000000000011E-2</v>
      </c>
      <c r="E250" s="4">
        <v>-0.24490000000000009</v>
      </c>
      <c r="F250" s="19">
        <v>17500</v>
      </c>
      <c r="G250" s="1"/>
    </row>
    <row r="251" spans="1:7">
      <c r="A251" s="4">
        <v>13</v>
      </c>
      <c r="B251" s="4">
        <v>5</v>
      </c>
      <c r="C251" s="4">
        <v>-0.17260000000000006</v>
      </c>
      <c r="D251" s="4">
        <v>4.0300000000000016E-2</v>
      </c>
      <c r="E251" s="4">
        <v>-0.21290000000000006</v>
      </c>
      <c r="F251" s="19">
        <v>19500</v>
      </c>
      <c r="G251" s="1"/>
    </row>
    <row r="252" spans="1:7">
      <c r="A252" s="4">
        <v>13</v>
      </c>
      <c r="B252" s="4">
        <v>6</v>
      </c>
      <c r="C252" s="4">
        <v>-0.14290000000000005</v>
      </c>
      <c r="D252" s="4">
        <v>4.199000000000002E-2</v>
      </c>
      <c r="E252" s="4">
        <v>-0.18490000000000006</v>
      </c>
      <c r="F252" s="19">
        <v>23500</v>
      </c>
      <c r="G252" s="1"/>
    </row>
    <row r="253" spans="1:7">
      <c r="A253" s="4">
        <v>13</v>
      </c>
      <c r="B253" s="4">
        <v>7</v>
      </c>
      <c r="C253" s="4">
        <v>-0.11600000000000003</v>
      </c>
      <c r="D253" s="4">
        <v>4.2780000000000019E-2</v>
      </c>
      <c r="E253" s="4">
        <v>-0.15880000000000005</v>
      </c>
      <c r="F253" s="19">
        <v>29500</v>
      </c>
      <c r="G253" s="1"/>
    </row>
    <row r="254" spans="1:7">
      <c r="A254" s="4">
        <v>13</v>
      </c>
      <c r="B254" s="4">
        <v>8</v>
      </c>
      <c r="C254" s="4">
        <v>-8.8710000000000039E-2</v>
      </c>
      <c r="D254" s="4">
        <v>4.2890000000000018E-2</v>
      </c>
      <c r="E254" s="4">
        <v>-0.13160000000000005</v>
      </c>
      <c r="F254" s="19">
        <v>37500</v>
      </c>
      <c r="G254" s="1"/>
    </row>
    <row r="255" spans="1:7">
      <c r="A255" s="4">
        <v>13</v>
      </c>
      <c r="B255" s="4">
        <v>9</v>
      </c>
      <c r="C255" s="4">
        <v>-6.6370000000000026E-2</v>
      </c>
      <c r="D255" s="4">
        <v>3.8880000000000019E-2</v>
      </c>
      <c r="E255" s="4">
        <v>-0.10530000000000003</v>
      </c>
      <c r="F255" s="19">
        <v>45000</v>
      </c>
      <c r="G255" s="1"/>
    </row>
    <row r="256" spans="1:7">
      <c r="A256" s="4">
        <v>13</v>
      </c>
      <c r="B256" s="4">
        <v>10</v>
      </c>
      <c r="C256" s="4">
        <v>-4.3050000000000019E-2</v>
      </c>
      <c r="D256" s="4">
        <v>3.7340000000000019E-2</v>
      </c>
      <c r="E256" s="4">
        <v>-8.0390000000000031E-2</v>
      </c>
      <c r="F256" s="19">
        <v>60500</v>
      </c>
      <c r="G256" s="1"/>
    </row>
    <row r="257" spans="1:7">
      <c r="A257" s="4">
        <v>13</v>
      </c>
      <c r="B257" s="4">
        <v>11</v>
      </c>
      <c r="C257" s="4">
        <v>-2.4830000000000012E-2</v>
      </c>
      <c r="D257" s="4">
        <v>2.8760000000000011E-2</v>
      </c>
      <c r="E257" s="4">
        <v>-5.359000000000002E-2</v>
      </c>
      <c r="F257" s="19">
        <v>77000</v>
      </c>
      <c r="G257" s="1"/>
    </row>
    <row r="258" spans="1:7">
      <c r="A258" s="4">
        <v>13</v>
      </c>
      <c r="B258" s="4">
        <v>12</v>
      </c>
      <c r="C258" s="4">
        <v>-1.3790000000000005E-2</v>
      </c>
      <c r="D258" s="4">
        <v>1.2260000000000005E-2</v>
      </c>
      <c r="E258" s="4">
        <v>-2.6040000000000011E-2</v>
      </c>
      <c r="F258" s="19">
        <v>114000</v>
      </c>
      <c r="G258" s="1"/>
    </row>
    <row r="259" spans="1:7">
      <c r="A259" s="4">
        <v>13</v>
      </c>
      <c r="B259" s="4">
        <v>13</v>
      </c>
      <c r="C259" s="4">
        <v>-8.5080000000000034E-3</v>
      </c>
      <c r="D259" s="4">
        <v>-8.7040000000000034E-3</v>
      </c>
      <c r="E259" s="4">
        <v>1.9640000000000008E-4</v>
      </c>
      <c r="F259" s="19">
        <v>180000</v>
      </c>
      <c r="G259" s="1"/>
    </row>
    <row r="260" spans="1:7">
      <c r="A260" s="4">
        <v>13</v>
      </c>
      <c r="B260" s="4">
        <v>14</v>
      </c>
      <c r="C260" s="4">
        <v>2.3400000000000011E-2</v>
      </c>
      <c r="D260" s="4">
        <v>-4.5320000000000013E-3</v>
      </c>
      <c r="E260" s="4">
        <v>2.793000000000001E-2</v>
      </c>
      <c r="F260" s="19">
        <v>108000</v>
      </c>
      <c r="G260" s="1"/>
    </row>
    <row r="261" spans="1:7">
      <c r="A261" s="4">
        <v>13</v>
      </c>
      <c r="B261" s="4">
        <v>15</v>
      </c>
      <c r="C261" s="4">
        <v>4.0660000000000016E-2</v>
      </c>
      <c r="D261" s="4">
        <v>-1.9820000000000008E-2</v>
      </c>
      <c r="E261" s="4">
        <v>6.0480000000000027E-2</v>
      </c>
      <c r="F261" s="19">
        <v>85000</v>
      </c>
      <c r="G261" s="1"/>
    </row>
    <row r="262" spans="1:7">
      <c r="A262" s="4">
        <v>13</v>
      </c>
      <c r="B262" s="4">
        <v>16</v>
      </c>
      <c r="C262" s="4">
        <v>6.926000000000003E-2</v>
      </c>
      <c r="D262" s="4">
        <v>-2.9290000000000014E-2</v>
      </c>
      <c r="E262" s="4">
        <v>9.855000000000004E-2</v>
      </c>
      <c r="F262" s="19">
        <v>69000</v>
      </c>
      <c r="G262" s="1"/>
    </row>
    <row r="263" spans="1:7">
      <c r="A263" s="4">
        <v>13</v>
      </c>
      <c r="B263" s="4">
        <v>17</v>
      </c>
      <c r="C263" s="4">
        <v>9.9200000000000038E-2</v>
      </c>
      <c r="D263" s="4">
        <v>-4.387000000000002E-2</v>
      </c>
      <c r="E263" s="4">
        <v>0.14310000000000003</v>
      </c>
      <c r="F263" s="19">
        <v>52500</v>
      </c>
      <c r="G263" s="1"/>
    </row>
    <row r="264" spans="1:7">
      <c r="A264" s="4">
        <v>13</v>
      </c>
      <c r="B264" s="4">
        <v>18</v>
      </c>
      <c r="C264" s="4">
        <v>0.12520000000000003</v>
      </c>
      <c r="D264" s="4">
        <v>-6.7880000000000024E-2</v>
      </c>
      <c r="E264" s="4">
        <v>0.19310000000000005</v>
      </c>
      <c r="F264" s="19">
        <v>40500</v>
      </c>
      <c r="G264" s="1"/>
    </row>
    <row r="265" spans="1:7">
      <c r="A265" s="4">
        <v>13</v>
      </c>
      <c r="B265" s="4">
        <v>19</v>
      </c>
      <c r="C265" s="4">
        <v>0.16940000000000005</v>
      </c>
      <c r="D265" s="4">
        <v>-9.0600000000000042E-2</v>
      </c>
      <c r="E265" s="4">
        <v>0.26000000000000006</v>
      </c>
      <c r="F265" s="19">
        <v>32500</v>
      </c>
      <c r="G265" s="1"/>
    </row>
    <row r="266" spans="1:7">
      <c r="A266" s="4">
        <v>13</v>
      </c>
      <c r="B266" s="4">
        <v>20</v>
      </c>
      <c r="C266" s="4">
        <v>0.30030000000000012</v>
      </c>
      <c r="D266" s="4">
        <v>-0.12400000000000004</v>
      </c>
      <c r="E266" s="4">
        <v>0.42430000000000012</v>
      </c>
      <c r="F266" s="19">
        <v>23500</v>
      </c>
      <c r="G266" s="1"/>
    </row>
    <row r="267" spans="1:7">
      <c r="A267" s="4">
        <v>14</v>
      </c>
      <c r="B267" s="4">
        <v>1</v>
      </c>
      <c r="C267" s="4">
        <v>-0.57340000000000013</v>
      </c>
      <c r="D267" s="4">
        <v>5.217000000000002E-3</v>
      </c>
      <c r="E267" s="4">
        <v>-0.57860000000000023</v>
      </c>
      <c r="F267" s="19">
        <v>13000</v>
      </c>
      <c r="G267" s="1"/>
    </row>
    <row r="268" spans="1:7">
      <c r="A268" s="4">
        <v>14</v>
      </c>
      <c r="B268" s="4">
        <v>2</v>
      </c>
      <c r="C268" s="4">
        <v>-0.3494000000000001</v>
      </c>
      <c r="D268" s="4">
        <v>1.6130000000000005E-2</v>
      </c>
      <c r="E268" s="4">
        <v>-0.36560000000000009</v>
      </c>
      <c r="F268" s="19">
        <v>12500</v>
      </c>
      <c r="G268" s="1"/>
    </row>
    <row r="269" spans="1:7">
      <c r="A269" s="4">
        <v>14</v>
      </c>
      <c r="B269" s="4">
        <v>3</v>
      </c>
      <c r="C269" s="4">
        <v>-0.29510000000000008</v>
      </c>
      <c r="D269" s="4">
        <v>1.6350000000000007E-2</v>
      </c>
      <c r="E269" s="4">
        <v>-0.31150000000000011</v>
      </c>
      <c r="F269" s="19">
        <v>13000</v>
      </c>
      <c r="G269" s="1"/>
    </row>
    <row r="270" spans="1:7">
      <c r="A270" s="4">
        <v>14</v>
      </c>
      <c r="B270" s="4">
        <v>4</v>
      </c>
      <c r="C270" s="4">
        <v>-0.24430000000000007</v>
      </c>
      <c r="D270" s="4">
        <v>2.9920000000000013E-2</v>
      </c>
      <c r="E270" s="4">
        <v>-0.27420000000000011</v>
      </c>
      <c r="F270" s="19">
        <v>15000</v>
      </c>
      <c r="G270" s="1"/>
    </row>
    <row r="271" spans="1:7">
      <c r="A271" s="4">
        <v>14</v>
      </c>
      <c r="B271" s="4">
        <v>5</v>
      </c>
      <c r="C271" s="4">
        <v>-0.21010000000000006</v>
      </c>
      <c r="D271" s="4">
        <v>3.2250000000000015E-2</v>
      </c>
      <c r="E271" s="4">
        <v>-0.24240000000000009</v>
      </c>
      <c r="F271" s="19">
        <v>17000</v>
      </c>
      <c r="G271" s="1"/>
    </row>
    <row r="272" spans="1:7">
      <c r="A272" s="4">
        <v>14</v>
      </c>
      <c r="B272" s="4">
        <v>6</v>
      </c>
      <c r="C272" s="4">
        <v>-0.17240000000000005</v>
      </c>
      <c r="D272" s="4">
        <v>4.242000000000002E-2</v>
      </c>
      <c r="E272" s="4">
        <v>-0.21480000000000007</v>
      </c>
      <c r="F272" s="19">
        <v>20000</v>
      </c>
      <c r="G272" s="1"/>
    </row>
    <row r="273" spans="1:7">
      <c r="A273" s="4">
        <v>14</v>
      </c>
      <c r="B273" s="4">
        <v>7</v>
      </c>
      <c r="C273" s="4">
        <v>-0.14400000000000004</v>
      </c>
      <c r="D273" s="4">
        <v>4.396000000000002E-2</v>
      </c>
      <c r="E273" s="4">
        <v>-0.18790000000000007</v>
      </c>
      <c r="F273" s="19">
        <v>24000</v>
      </c>
      <c r="G273" s="1"/>
    </row>
    <row r="274" spans="1:7">
      <c r="A274" s="4">
        <v>14</v>
      </c>
      <c r="B274" s="4">
        <v>8</v>
      </c>
      <c r="C274" s="4">
        <v>-0.11680000000000004</v>
      </c>
      <c r="D274" s="4">
        <v>4.4520000000000018E-2</v>
      </c>
      <c r="E274" s="4">
        <v>-0.16130000000000005</v>
      </c>
      <c r="F274" s="19">
        <v>29500</v>
      </c>
      <c r="G274" s="1"/>
    </row>
    <row r="275" spans="1:7">
      <c r="A275" s="4">
        <v>14</v>
      </c>
      <c r="B275" s="4">
        <v>9</v>
      </c>
      <c r="C275" s="4">
        <v>-9.0260000000000035E-2</v>
      </c>
      <c r="D275" s="4">
        <v>4.3990000000000015E-2</v>
      </c>
      <c r="E275" s="4">
        <v>-0.13420000000000004</v>
      </c>
      <c r="F275" s="19">
        <v>37500</v>
      </c>
      <c r="G275" s="1"/>
    </row>
    <row r="276" spans="1:7">
      <c r="A276" s="4">
        <v>14</v>
      </c>
      <c r="B276" s="4">
        <v>10</v>
      </c>
      <c r="C276" s="4">
        <v>-7.087000000000003E-2</v>
      </c>
      <c r="D276" s="4">
        <v>3.8370000000000015E-2</v>
      </c>
      <c r="E276" s="4">
        <v>-0.10920000000000003</v>
      </c>
      <c r="F276" s="19">
        <v>47500</v>
      </c>
      <c r="G276" s="1"/>
    </row>
    <row r="277" spans="1:7">
      <c r="A277" s="4">
        <v>14</v>
      </c>
      <c r="B277" s="4">
        <v>11</v>
      </c>
      <c r="C277" s="4">
        <v>-5.7040000000000021E-2</v>
      </c>
      <c r="D277" s="4">
        <v>2.590000000000001E-2</v>
      </c>
      <c r="E277" s="4">
        <v>-8.2950000000000038E-2</v>
      </c>
      <c r="F277" s="19">
        <v>66000</v>
      </c>
      <c r="G277" s="1"/>
    </row>
    <row r="278" spans="1:7">
      <c r="A278" s="4">
        <v>14</v>
      </c>
      <c r="B278" s="4">
        <v>12</v>
      </c>
      <c r="C278" s="4">
        <v>-3.0950000000000012E-2</v>
      </c>
      <c r="D278" s="4">
        <v>2.512000000000001E-2</v>
      </c>
      <c r="E278" s="4">
        <v>-5.6070000000000023E-2</v>
      </c>
      <c r="F278" s="19">
        <v>78000</v>
      </c>
      <c r="G278" s="1"/>
    </row>
    <row r="279" spans="1:7">
      <c r="A279" s="4">
        <v>14</v>
      </c>
      <c r="B279" s="4">
        <v>13</v>
      </c>
      <c r="C279" s="4">
        <v>-1.5990000000000008E-2</v>
      </c>
      <c r="D279" s="4">
        <v>1.1550000000000005E-2</v>
      </c>
      <c r="E279" s="4">
        <v>-2.7540000000000012E-2</v>
      </c>
      <c r="F279" s="19">
        <v>103000</v>
      </c>
      <c r="G279" s="1"/>
    </row>
    <row r="280" spans="1:7">
      <c r="A280" s="4">
        <v>14</v>
      </c>
      <c r="B280" s="4">
        <v>14</v>
      </c>
      <c r="C280" s="4">
        <v>1.0910000000000005E-2</v>
      </c>
      <c r="D280" s="4">
        <v>1.0850000000000004E-2</v>
      </c>
      <c r="E280" s="4">
        <v>6.0070000000000033E-5</v>
      </c>
      <c r="F280" s="19">
        <v>124000</v>
      </c>
      <c r="G280" s="1"/>
    </row>
    <row r="281" spans="1:7">
      <c r="A281" s="4">
        <v>14</v>
      </c>
      <c r="B281" s="4">
        <v>15</v>
      </c>
      <c r="C281" s="4">
        <v>1.9440000000000009E-2</v>
      </c>
      <c r="D281" s="4">
        <v>-1.1750000000000005E-2</v>
      </c>
      <c r="E281" s="4">
        <v>3.1190000000000013E-2</v>
      </c>
      <c r="F281" s="19">
        <v>108000</v>
      </c>
      <c r="G281" s="1"/>
    </row>
    <row r="282" spans="1:7">
      <c r="A282" s="4">
        <v>14</v>
      </c>
      <c r="B282" s="4">
        <v>16</v>
      </c>
      <c r="C282" s="4">
        <v>4.8590000000000022E-2</v>
      </c>
      <c r="D282" s="4">
        <v>-1.9870000000000009E-2</v>
      </c>
      <c r="E282" s="4">
        <v>6.8460000000000035E-2</v>
      </c>
      <c r="F282" s="19">
        <v>92500</v>
      </c>
      <c r="G282" s="1"/>
    </row>
    <row r="283" spans="1:7">
      <c r="A283" s="4">
        <v>14</v>
      </c>
      <c r="B283" s="4">
        <v>17</v>
      </c>
      <c r="C283" s="4">
        <v>7.1570000000000036E-2</v>
      </c>
      <c r="D283" s="4">
        <v>-4.2820000000000018E-2</v>
      </c>
      <c r="E283" s="4">
        <v>0.11440000000000004</v>
      </c>
      <c r="F283" s="19">
        <v>78000</v>
      </c>
      <c r="G283" s="1"/>
    </row>
    <row r="284" spans="1:7">
      <c r="A284" s="4">
        <v>14</v>
      </c>
      <c r="B284" s="4">
        <v>18</v>
      </c>
      <c r="C284" s="4">
        <v>0.11200000000000003</v>
      </c>
      <c r="D284" s="4">
        <v>-5.1650000000000022E-2</v>
      </c>
      <c r="E284" s="4">
        <v>0.16360000000000005</v>
      </c>
      <c r="F284" s="19">
        <v>47000</v>
      </c>
      <c r="G284" s="1"/>
    </row>
    <row r="285" spans="1:7">
      <c r="A285" s="4">
        <v>14</v>
      </c>
      <c r="B285" s="4">
        <v>19</v>
      </c>
      <c r="C285" s="4">
        <v>0.14750000000000005</v>
      </c>
      <c r="D285" s="4">
        <v>-8.2630000000000037E-2</v>
      </c>
      <c r="E285" s="4">
        <v>0.23010000000000008</v>
      </c>
      <c r="F285" s="19">
        <v>40500</v>
      </c>
      <c r="G285" s="1"/>
    </row>
    <row r="286" spans="1:7">
      <c r="A286" s="4">
        <v>14</v>
      </c>
      <c r="B286" s="4">
        <v>20</v>
      </c>
      <c r="C286" s="4">
        <v>0.26910000000000006</v>
      </c>
      <c r="D286" s="4">
        <v>-0.12650000000000003</v>
      </c>
      <c r="E286" s="4">
        <v>0.39560000000000012</v>
      </c>
      <c r="F286" s="19">
        <v>29500</v>
      </c>
      <c r="G286" s="1"/>
    </row>
    <row r="287" spans="1:7">
      <c r="A287" s="4">
        <v>15</v>
      </c>
      <c r="B287" s="4">
        <v>1</v>
      </c>
      <c r="C287" s="4">
        <v>-0.62360000000000015</v>
      </c>
      <c r="D287" s="4">
        <v>3.213000000000001E-3</v>
      </c>
      <c r="E287" s="4">
        <v>-0.62680000000000025</v>
      </c>
      <c r="F287" s="19">
        <v>12000</v>
      </c>
      <c r="G287" s="1"/>
    </row>
    <row r="288" spans="1:7">
      <c r="A288" s="4">
        <v>15</v>
      </c>
      <c r="B288" s="4">
        <v>2</v>
      </c>
      <c r="C288" s="4">
        <v>-0.39250000000000013</v>
      </c>
      <c r="D288" s="4">
        <v>5.1070000000000022E-3</v>
      </c>
      <c r="E288" s="4">
        <v>-0.39760000000000012</v>
      </c>
      <c r="F288" s="19">
        <v>11000</v>
      </c>
      <c r="G288" s="1"/>
    </row>
    <row r="289" spans="1:7">
      <c r="A289" s="4">
        <v>15</v>
      </c>
      <c r="B289" s="4">
        <v>3</v>
      </c>
      <c r="C289" s="4">
        <v>-0.33180000000000009</v>
      </c>
      <c r="D289" s="4">
        <v>1.2460000000000006E-2</v>
      </c>
      <c r="E289" s="4">
        <v>-0.34430000000000011</v>
      </c>
      <c r="F289" s="19">
        <v>11000</v>
      </c>
      <c r="G289" s="1"/>
    </row>
    <row r="290" spans="1:7">
      <c r="A290" s="4">
        <v>15</v>
      </c>
      <c r="B290" s="4">
        <v>4</v>
      </c>
      <c r="C290" s="4">
        <v>-0.27890000000000009</v>
      </c>
      <c r="D290" s="4">
        <v>2.8170000000000011E-2</v>
      </c>
      <c r="E290" s="4">
        <v>-0.3071000000000001</v>
      </c>
      <c r="F290" s="19">
        <v>12500</v>
      </c>
      <c r="G290" s="1"/>
    </row>
    <row r="291" spans="1:7">
      <c r="A291" s="4">
        <v>15</v>
      </c>
      <c r="B291" s="4">
        <v>5</v>
      </c>
      <c r="C291" s="4">
        <v>-0.22970000000000007</v>
      </c>
      <c r="D291" s="4">
        <v>4.5710000000000021E-2</v>
      </c>
      <c r="E291" s="4">
        <v>-0.27540000000000009</v>
      </c>
      <c r="F291" s="19">
        <v>14000</v>
      </c>
      <c r="G291" s="1"/>
    </row>
    <row r="292" spans="1:7">
      <c r="A292" s="4">
        <v>15</v>
      </c>
      <c r="B292" s="4">
        <v>6</v>
      </c>
      <c r="C292" s="4">
        <v>-0.20640000000000006</v>
      </c>
      <c r="D292" s="4">
        <v>4.038000000000002E-2</v>
      </c>
      <c r="E292" s="4">
        <v>-0.24670000000000009</v>
      </c>
      <c r="F292" s="19">
        <v>17000</v>
      </c>
      <c r="G292" s="1"/>
    </row>
    <row r="293" spans="1:7">
      <c r="A293" s="4">
        <v>15</v>
      </c>
      <c r="B293" s="4">
        <v>7</v>
      </c>
      <c r="C293" s="4">
        <v>-0.17700000000000005</v>
      </c>
      <c r="D293" s="4">
        <v>4.337000000000002E-2</v>
      </c>
      <c r="E293" s="4">
        <v>-0.22040000000000007</v>
      </c>
      <c r="F293" s="19">
        <v>19500</v>
      </c>
      <c r="G293" s="1"/>
    </row>
    <row r="294" spans="1:7">
      <c r="A294" s="4">
        <v>15</v>
      </c>
      <c r="B294" s="4">
        <v>8</v>
      </c>
      <c r="C294" s="4">
        <v>-0.14930000000000004</v>
      </c>
      <c r="D294" s="4">
        <v>4.4470000000000016E-2</v>
      </c>
      <c r="E294" s="4">
        <v>-0.19380000000000006</v>
      </c>
      <c r="F294" s="19">
        <v>23000</v>
      </c>
      <c r="G294" s="1"/>
    </row>
    <row r="295" spans="1:7">
      <c r="A295" s="4">
        <v>15</v>
      </c>
      <c r="B295" s="4">
        <v>9</v>
      </c>
      <c r="C295" s="4">
        <v>-0.12100000000000004</v>
      </c>
      <c r="D295" s="4">
        <v>4.650000000000002E-2</v>
      </c>
      <c r="E295" s="4">
        <v>-0.16750000000000007</v>
      </c>
      <c r="F295" s="19">
        <v>29000</v>
      </c>
      <c r="G295" s="1"/>
    </row>
    <row r="296" spans="1:7">
      <c r="A296" s="4">
        <v>15</v>
      </c>
      <c r="B296" s="4">
        <v>10</v>
      </c>
      <c r="C296" s="4">
        <v>-8.8260000000000033E-2</v>
      </c>
      <c r="D296" s="4">
        <v>5.3200000000000025E-2</v>
      </c>
      <c r="E296" s="4">
        <v>-0.14150000000000004</v>
      </c>
      <c r="F296" s="19">
        <v>37000</v>
      </c>
      <c r="G296" s="1"/>
    </row>
    <row r="297" spans="1:7">
      <c r="A297" s="4">
        <v>15</v>
      </c>
      <c r="B297" s="4">
        <v>11</v>
      </c>
      <c r="C297" s="4">
        <v>-7.3600000000000027E-2</v>
      </c>
      <c r="D297" s="4">
        <v>4.165000000000002E-2</v>
      </c>
      <c r="E297" s="4">
        <v>-0.11530000000000004</v>
      </c>
      <c r="F297" s="19">
        <v>44500</v>
      </c>
      <c r="G297" s="1"/>
    </row>
    <row r="298" spans="1:7">
      <c r="A298" s="4">
        <v>15</v>
      </c>
      <c r="B298" s="4">
        <v>12</v>
      </c>
      <c r="C298" s="4">
        <v>-5.0500000000000024E-2</v>
      </c>
      <c r="D298" s="4">
        <v>3.7900000000000017E-2</v>
      </c>
      <c r="E298" s="4">
        <v>-8.8410000000000044E-2</v>
      </c>
      <c r="F298" s="19">
        <v>56500</v>
      </c>
      <c r="G298" s="1"/>
    </row>
    <row r="299" spans="1:7">
      <c r="A299" s="4">
        <v>15</v>
      </c>
      <c r="B299" s="4">
        <v>13</v>
      </c>
      <c r="C299" s="4">
        <v>-4.1210000000000017E-2</v>
      </c>
      <c r="D299" s="4">
        <v>1.9650000000000008E-2</v>
      </c>
      <c r="E299" s="4">
        <v>-6.0860000000000025E-2</v>
      </c>
      <c r="F299" s="19">
        <v>78500</v>
      </c>
      <c r="G299" s="1"/>
    </row>
    <row r="300" spans="1:7">
      <c r="A300" s="4">
        <v>15</v>
      </c>
      <c r="B300" s="4">
        <v>14</v>
      </c>
      <c r="C300" s="4">
        <v>-2.7470000000000012E-2</v>
      </c>
      <c r="D300" s="4">
        <v>2.971000000000001E-3</v>
      </c>
      <c r="E300" s="4">
        <v>-3.0440000000000012E-2</v>
      </c>
      <c r="F300" s="19">
        <v>122000</v>
      </c>
      <c r="G300" s="1"/>
    </row>
    <row r="301" spans="1:7">
      <c r="A301" s="4">
        <v>15</v>
      </c>
      <c r="B301" s="4">
        <v>15</v>
      </c>
      <c r="C301" s="4">
        <v>1.1380000000000003E-3</v>
      </c>
      <c r="D301" s="4">
        <v>1.3580000000000005E-3</v>
      </c>
      <c r="E301" s="4">
        <v>-2.205000000000001E-4</v>
      </c>
      <c r="F301" s="19">
        <v>139000</v>
      </c>
      <c r="G301" s="1"/>
    </row>
    <row r="302" spans="1:7">
      <c r="A302" s="4">
        <v>15</v>
      </c>
      <c r="B302" s="4">
        <v>16</v>
      </c>
      <c r="C302" s="4">
        <v>2.717000000000001E-2</v>
      </c>
      <c r="D302" s="4">
        <v>-8.5050000000000039E-3</v>
      </c>
      <c r="E302" s="4">
        <v>3.5680000000000017E-2</v>
      </c>
      <c r="F302" s="19">
        <v>123000</v>
      </c>
      <c r="G302" s="1"/>
    </row>
    <row r="303" spans="1:7">
      <c r="A303" s="4">
        <v>15</v>
      </c>
      <c r="B303" s="4">
        <v>17</v>
      </c>
      <c r="C303" s="4">
        <v>5.0000000000000024E-2</v>
      </c>
      <c r="D303" s="4">
        <v>-2.9650000000000013E-2</v>
      </c>
      <c r="E303" s="4">
        <v>7.965000000000004E-2</v>
      </c>
      <c r="F303" s="19">
        <v>99000</v>
      </c>
      <c r="G303" s="1"/>
    </row>
    <row r="304" spans="1:7">
      <c r="A304" s="4">
        <v>15</v>
      </c>
      <c r="B304" s="4">
        <v>18</v>
      </c>
      <c r="C304" s="4">
        <v>8.322000000000003E-2</v>
      </c>
      <c r="D304" s="4">
        <v>-4.7470000000000019E-2</v>
      </c>
      <c r="E304" s="4">
        <v>0.13070000000000004</v>
      </c>
      <c r="F304" s="19">
        <v>64000</v>
      </c>
      <c r="G304" s="1"/>
    </row>
    <row r="305" spans="1:7">
      <c r="A305" s="4">
        <v>15</v>
      </c>
      <c r="B305" s="4">
        <v>19</v>
      </c>
      <c r="C305" s="4">
        <v>0.12960000000000005</v>
      </c>
      <c r="D305" s="4">
        <v>-6.8140000000000034E-2</v>
      </c>
      <c r="E305" s="4">
        <v>0.19770000000000007</v>
      </c>
      <c r="F305" s="19">
        <v>51500</v>
      </c>
      <c r="G305" s="1"/>
    </row>
    <row r="306" spans="1:7">
      <c r="A306" s="4">
        <v>15</v>
      </c>
      <c r="B306" s="4">
        <v>20</v>
      </c>
      <c r="C306" s="4">
        <v>0.24010000000000006</v>
      </c>
      <c r="D306" s="4">
        <v>-0.12570000000000003</v>
      </c>
      <c r="E306" s="4">
        <v>0.36580000000000013</v>
      </c>
      <c r="F306" s="19">
        <v>38500</v>
      </c>
      <c r="G306" s="1"/>
    </row>
    <row r="307" spans="1:7">
      <c r="A307" s="4">
        <v>16</v>
      </c>
      <c r="B307" s="4">
        <v>1</v>
      </c>
      <c r="C307" s="4">
        <v>-0.6867000000000002</v>
      </c>
      <c r="D307" s="4">
        <v>-1.6610000000000007E-2</v>
      </c>
      <c r="E307" s="4">
        <v>-0.67010000000000025</v>
      </c>
      <c r="F307" s="19">
        <v>11000</v>
      </c>
      <c r="G307" s="1"/>
    </row>
    <row r="308" spans="1:7">
      <c r="A308" s="4">
        <v>16</v>
      </c>
      <c r="B308" s="4">
        <v>2</v>
      </c>
      <c r="C308" s="4">
        <v>-0.43790000000000012</v>
      </c>
      <c r="D308" s="4">
        <v>-2.9400000000000012E-3</v>
      </c>
      <c r="E308" s="4">
        <v>-0.43500000000000016</v>
      </c>
      <c r="F308" s="19">
        <v>9300</v>
      </c>
      <c r="G308" s="1"/>
    </row>
    <row r="309" spans="1:7">
      <c r="A309" s="4">
        <v>16</v>
      </c>
      <c r="B309" s="4">
        <v>3</v>
      </c>
      <c r="C309" s="4">
        <v>-0.37040000000000012</v>
      </c>
      <c r="D309" s="4">
        <v>1.1240000000000005E-2</v>
      </c>
      <c r="E309" s="4">
        <v>-0.38170000000000009</v>
      </c>
      <c r="F309" s="19">
        <v>9700</v>
      </c>
      <c r="G309" s="1"/>
    </row>
    <row r="310" spans="1:7">
      <c r="A310" s="4">
        <v>16</v>
      </c>
      <c r="B310" s="4">
        <v>4</v>
      </c>
      <c r="C310" s="4">
        <v>-0.3267000000000001</v>
      </c>
      <c r="D310" s="4">
        <v>1.7450000000000007E-2</v>
      </c>
      <c r="E310" s="4">
        <v>-0.34420000000000012</v>
      </c>
      <c r="F310" s="19">
        <v>10500</v>
      </c>
      <c r="G310" s="1"/>
    </row>
    <row r="311" spans="1:7">
      <c r="A311" s="4">
        <v>16</v>
      </c>
      <c r="B311" s="4">
        <v>5</v>
      </c>
      <c r="C311" s="4">
        <v>-0.28380000000000011</v>
      </c>
      <c r="D311" s="4">
        <v>2.8870000000000014E-2</v>
      </c>
      <c r="E311" s="4">
        <v>-0.3126000000000001</v>
      </c>
      <c r="F311" s="19">
        <v>12000</v>
      </c>
      <c r="G311" s="1"/>
    </row>
    <row r="312" spans="1:7">
      <c r="A312" s="4">
        <v>16</v>
      </c>
      <c r="B312" s="4">
        <v>6</v>
      </c>
      <c r="C312" s="4">
        <v>-0.24580000000000007</v>
      </c>
      <c r="D312" s="4">
        <v>3.8680000000000013E-2</v>
      </c>
      <c r="E312" s="4">
        <v>-0.28450000000000009</v>
      </c>
      <c r="F312" s="19">
        <v>14000</v>
      </c>
      <c r="G312" s="1"/>
    </row>
    <row r="313" spans="1:7">
      <c r="A313" s="4">
        <v>16</v>
      </c>
      <c r="B313" s="4">
        <v>7</v>
      </c>
      <c r="C313" s="4">
        <v>-0.21010000000000006</v>
      </c>
      <c r="D313" s="4">
        <v>4.7720000000000019E-2</v>
      </c>
      <c r="E313" s="4">
        <v>-0.25780000000000008</v>
      </c>
      <c r="F313" s="19">
        <v>16000</v>
      </c>
      <c r="G313" s="1"/>
    </row>
    <row r="314" spans="1:7">
      <c r="A314" s="4">
        <v>16</v>
      </c>
      <c r="B314" s="4">
        <v>8</v>
      </c>
      <c r="C314" s="4">
        <v>-0.18880000000000005</v>
      </c>
      <c r="D314" s="4">
        <v>4.260000000000002E-2</v>
      </c>
      <c r="E314" s="4">
        <v>-0.23140000000000008</v>
      </c>
      <c r="F314" s="19">
        <v>19000</v>
      </c>
      <c r="G314" s="1"/>
    </row>
    <row r="315" spans="1:7">
      <c r="A315" s="4">
        <v>16</v>
      </c>
      <c r="B315" s="4">
        <v>9</v>
      </c>
      <c r="C315" s="4">
        <v>-0.15860000000000005</v>
      </c>
      <c r="D315" s="4">
        <v>4.6530000000000023E-2</v>
      </c>
      <c r="E315" s="4">
        <v>-0.20510000000000006</v>
      </c>
      <c r="F315" s="19">
        <v>23500</v>
      </c>
      <c r="G315" s="1"/>
    </row>
    <row r="316" spans="1:7">
      <c r="A316" s="4">
        <v>16</v>
      </c>
      <c r="B316" s="4">
        <v>10</v>
      </c>
      <c r="C316" s="4">
        <v>-0.12530000000000005</v>
      </c>
      <c r="D316" s="4">
        <v>5.307000000000002E-2</v>
      </c>
      <c r="E316" s="4">
        <v>-0.17840000000000006</v>
      </c>
      <c r="F316" s="19">
        <v>28000</v>
      </c>
      <c r="G316" s="1"/>
    </row>
    <row r="317" spans="1:7">
      <c r="A317" s="4">
        <v>16</v>
      </c>
      <c r="B317" s="4">
        <v>11</v>
      </c>
      <c r="C317" s="4">
        <v>-9.9780000000000035E-2</v>
      </c>
      <c r="D317" s="4">
        <v>5.3000000000000019E-2</v>
      </c>
      <c r="E317" s="4">
        <v>-0.15280000000000005</v>
      </c>
      <c r="F317" s="19">
        <v>37500</v>
      </c>
      <c r="G317" s="1"/>
    </row>
    <row r="318" spans="1:7">
      <c r="A318" s="4">
        <v>16</v>
      </c>
      <c r="B318" s="4">
        <v>12</v>
      </c>
      <c r="C318" s="4">
        <v>-7.8980000000000036E-2</v>
      </c>
      <c r="D318" s="4">
        <v>4.6620000000000023E-2</v>
      </c>
      <c r="E318" s="4">
        <v>-0.12560000000000004</v>
      </c>
      <c r="F318" s="19">
        <v>45500</v>
      </c>
      <c r="G318" s="1"/>
    </row>
    <row r="319" spans="1:7">
      <c r="A319" s="4">
        <v>16</v>
      </c>
      <c r="B319" s="4">
        <v>13</v>
      </c>
      <c r="C319" s="4">
        <v>-5.8020000000000023E-2</v>
      </c>
      <c r="D319" s="4">
        <v>3.9510000000000017E-2</v>
      </c>
      <c r="E319" s="4">
        <v>-9.7530000000000047E-2</v>
      </c>
      <c r="F319" s="19">
        <v>58000</v>
      </c>
      <c r="G319" s="1"/>
    </row>
    <row r="320" spans="1:7">
      <c r="A320" s="4">
        <v>16</v>
      </c>
      <c r="B320" s="4">
        <v>14</v>
      </c>
      <c r="C320" s="4">
        <v>-3.4960000000000012E-2</v>
      </c>
      <c r="D320" s="4">
        <v>3.2670000000000012E-2</v>
      </c>
      <c r="E320" s="4">
        <v>-6.7630000000000023E-2</v>
      </c>
      <c r="F320" s="19">
        <v>80500</v>
      </c>
      <c r="G320" s="1"/>
    </row>
    <row r="321" spans="1:7">
      <c r="A321" s="4">
        <v>16</v>
      </c>
      <c r="B321" s="4">
        <v>15</v>
      </c>
      <c r="C321" s="4">
        <v>-1.0320000000000005E-2</v>
      </c>
      <c r="D321" s="4">
        <v>2.463000000000001E-2</v>
      </c>
      <c r="E321" s="4">
        <v>-3.4950000000000016E-2</v>
      </c>
      <c r="F321" s="19">
        <v>129000</v>
      </c>
      <c r="G321" s="1"/>
    </row>
    <row r="322" spans="1:7">
      <c r="A322" s="4">
        <v>16</v>
      </c>
      <c r="B322" s="4">
        <v>16</v>
      </c>
      <c r="C322" s="4">
        <v>1.9930000000000007E-2</v>
      </c>
      <c r="D322" s="4">
        <v>2.0170000000000007E-2</v>
      </c>
      <c r="E322" s="4">
        <v>-2.4140000000000012E-4</v>
      </c>
      <c r="F322" s="19">
        <v>172000</v>
      </c>
      <c r="G322" s="1"/>
    </row>
    <row r="323" spans="1:7">
      <c r="A323" s="4">
        <v>16</v>
      </c>
      <c r="B323" s="4">
        <v>17</v>
      </c>
      <c r="C323" s="4">
        <v>2.692000000000001E-2</v>
      </c>
      <c r="D323" s="4">
        <v>-1.5130000000000006E-2</v>
      </c>
      <c r="E323" s="4">
        <v>4.2040000000000015E-2</v>
      </c>
      <c r="F323" s="19">
        <v>150000</v>
      </c>
      <c r="G323" s="1"/>
    </row>
    <row r="324" spans="1:7">
      <c r="A324" s="4">
        <v>16</v>
      </c>
      <c r="B324" s="4">
        <v>18</v>
      </c>
      <c r="C324" s="4">
        <v>5.3920000000000023E-2</v>
      </c>
      <c r="D324" s="4">
        <v>-3.7970000000000018E-2</v>
      </c>
      <c r="E324" s="4">
        <v>9.1890000000000041E-2</v>
      </c>
      <c r="F324" s="19">
        <v>96000</v>
      </c>
      <c r="G324" s="1"/>
    </row>
    <row r="325" spans="1:7">
      <c r="A325" s="4">
        <v>16</v>
      </c>
      <c r="B325" s="4">
        <v>19</v>
      </c>
      <c r="C325" s="4">
        <v>9.2590000000000033E-2</v>
      </c>
      <c r="D325" s="4">
        <v>-6.6080000000000028E-2</v>
      </c>
      <c r="E325" s="4">
        <v>0.15870000000000006</v>
      </c>
      <c r="F325" s="19">
        <v>76500</v>
      </c>
      <c r="G325" s="1"/>
    </row>
    <row r="326" spans="1:7">
      <c r="A326" s="4">
        <v>16</v>
      </c>
      <c r="B326" s="4">
        <v>20</v>
      </c>
      <c r="C326" s="4">
        <v>0.19620000000000007</v>
      </c>
      <c r="D326" s="4">
        <v>-0.12590000000000004</v>
      </c>
      <c r="E326" s="4">
        <v>0.3222000000000001</v>
      </c>
      <c r="F326" s="19">
        <v>50500</v>
      </c>
      <c r="G326" s="1"/>
    </row>
    <row r="327" spans="1:7">
      <c r="A327" s="4">
        <v>17</v>
      </c>
      <c r="B327" s="4">
        <v>1</v>
      </c>
      <c r="C327" s="4">
        <v>-0.74250000000000027</v>
      </c>
      <c r="D327" s="4">
        <v>-1.2500000000000006E-2</v>
      </c>
      <c r="E327" s="4">
        <v>-0.7300000000000002</v>
      </c>
      <c r="F327" s="19">
        <v>9800</v>
      </c>
      <c r="G327" s="1"/>
    </row>
    <row r="328" spans="1:7">
      <c r="A328" s="4">
        <v>17</v>
      </c>
      <c r="B328" s="4">
        <v>2</v>
      </c>
      <c r="C328" s="4">
        <v>-0.49480000000000018</v>
      </c>
      <c r="D328" s="4">
        <v>-1.5510000000000006E-2</v>
      </c>
      <c r="E328" s="4">
        <v>-0.47930000000000017</v>
      </c>
      <c r="F328" s="19">
        <v>7700</v>
      </c>
      <c r="G328" s="1"/>
    </row>
    <row r="329" spans="1:7">
      <c r="A329" s="4">
        <v>17</v>
      </c>
      <c r="B329" s="4">
        <v>3</v>
      </c>
      <c r="C329" s="4">
        <v>-0.42450000000000015</v>
      </c>
      <c r="D329" s="4">
        <v>1.4560000000000005E-3</v>
      </c>
      <c r="E329" s="4">
        <v>-0.42600000000000016</v>
      </c>
      <c r="F329" s="19">
        <v>7700</v>
      </c>
      <c r="G329" s="1"/>
    </row>
    <row r="330" spans="1:7">
      <c r="A330" s="4">
        <v>17</v>
      </c>
      <c r="B330" s="4">
        <v>4</v>
      </c>
      <c r="C330" s="4">
        <v>-0.37670000000000015</v>
      </c>
      <c r="D330" s="4">
        <v>1.1650000000000004E-2</v>
      </c>
      <c r="E330" s="4">
        <v>-0.38840000000000013</v>
      </c>
      <c r="F330" s="19">
        <v>8200</v>
      </c>
      <c r="G330" s="1"/>
    </row>
    <row r="331" spans="1:7">
      <c r="A331" s="4">
        <v>17</v>
      </c>
      <c r="B331" s="4">
        <v>5</v>
      </c>
      <c r="C331" s="4">
        <v>-0.34710000000000013</v>
      </c>
      <c r="D331" s="4">
        <v>9.1560000000000027E-3</v>
      </c>
      <c r="E331" s="4">
        <v>-0.35630000000000012</v>
      </c>
      <c r="F331" s="19">
        <v>9500</v>
      </c>
      <c r="G331" s="1"/>
    </row>
    <row r="332" spans="1:7">
      <c r="A332" s="4">
        <v>17</v>
      </c>
      <c r="B332" s="4">
        <v>6</v>
      </c>
      <c r="C332" s="4">
        <v>-0.29880000000000012</v>
      </c>
      <c r="D332" s="4">
        <v>2.9920000000000013E-2</v>
      </c>
      <c r="E332" s="4">
        <v>-0.3287000000000001</v>
      </c>
      <c r="F332" s="19">
        <v>11000</v>
      </c>
      <c r="G332" s="1"/>
    </row>
    <row r="333" spans="1:7">
      <c r="A333" s="4">
        <v>17</v>
      </c>
      <c r="B333" s="4">
        <v>7</v>
      </c>
      <c r="C333" s="4">
        <v>-0.26700000000000007</v>
      </c>
      <c r="D333" s="4">
        <v>3.5060000000000015E-2</v>
      </c>
      <c r="E333" s="4">
        <v>-0.3020000000000001</v>
      </c>
      <c r="F333" s="19">
        <v>12500</v>
      </c>
      <c r="G333" s="1"/>
    </row>
    <row r="334" spans="1:7">
      <c r="A334" s="4">
        <v>17</v>
      </c>
      <c r="B334" s="4">
        <v>8</v>
      </c>
      <c r="C334" s="4">
        <v>-0.23310000000000008</v>
      </c>
      <c r="D334" s="4">
        <v>4.2540000000000015E-2</v>
      </c>
      <c r="E334" s="4">
        <v>-0.27560000000000007</v>
      </c>
      <c r="F334" s="19">
        <v>15000</v>
      </c>
      <c r="G334" s="1"/>
    </row>
    <row r="335" spans="1:7">
      <c r="A335" s="4">
        <v>17</v>
      </c>
      <c r="B335" s="4">
        <v>9</v>
      </c>
      <c r="C335" s="4">
        <v>-0.20290000000000005</v>
      </c>
      <c r="D335" s="4">
        <v>4.600000000000002E-2</v>
      </c>
      <c r="E335" s="4">
        <v>-0.24890000000000007</v>
      </c>
      <c r="F335" s="19">
        <v>18000</v>
      </c>
      <c r="G335" s="1"/>
    </row>
    <row r="336" spans="1:7">
      <c r="A336" s="4">
        <v>17</v>
      </c>
      <c r="B336" s="4">
        <v>10</v>
      </c>
      <c r="C336" s="4">
        <v>-0.17860000000000006</v>
      </c>
      <c r="D336" s="4">
        <v>4.4760000000000022E-2</v>
      </c>
      <c r="E336" s="4">
        <v>-0.22330000000000008</v>
      </c>
      <c r="F336" s="19">
        <v>20500</v>
      </c>
      <c r="G336" s="1"/>
    </row>
    <row r="337" spans="1:7">
      <c r="A337" s="4">
        <v>17</v>
      </c>
      <c r="B337" s="4">
        <v>11</v>
      </c>
      <c r="C337" s="4">
        <v>-0.14150000000000004</v>
      </c>
      <c r="D337" s="4">
        <v>5.5860000000000021E-2</v>
      </c>
      <c r="E337" s="4">
        <v>-0.19730000000000006</v>
      </c>
      <c r="F337" s="19">
        <v>26000</v>
      </c>
      <c r="G337" s="1"/>
    </row>
    <row r="338" spans="1:7">
      <c r="A338" s="4">
        <v>17</v>
      </c>
      <c r="B338" s="4">
        <v>12</v>
      </c>
      <c r="C338" s="4">
        <v>-0.11910000000000004</v>
      </c>
      <c r="D338" s="4">
        <v>5.1160000000000025E-2</v>
      </c>
      <c r="E338" s="4">
        <v>-0.17020000000000005</v>
      </c>
      <c r="F338" s="19">
        <v>32000</v>
      </c>
      <c r="G338" s="1"/>
    </row>
    <row r="339" spans="1:7">
      <c r="A339" s="4">
        <v>17</v>
      </c>
      <c r="B339" s="4">
        <v>13</v>
      </c>
      <c r="C339" s="4">
        <v>-9.5170000000000046E-2</v>
      </c>
      <c r="D339" s="4">
        <v>4.6700000000000019E-2</v>
      </c>
      <c r="E339" s="4">
        <v>-0.14190000000000005</v>
      </c>
      <c r="F339" s="19">
        <v>41500</v>
      </c>
      <c r="G339" s="1"/>
    </row>
    <row r="340" spans="1:7">
      <c r="A340" s="4">
        <v>17</v>
      </c>
      <c r="B340" s="4">
        <v>14</v>
      </c>
      <c r="C340" s="4">
        <v>-7.0710000000000023E-2</v>
      </c>
      <c r="D340" s="4">
        <v>4.1180000000000015E-2</v>
      </c>
      <c r="E340" s="4">
        <v>-0.11190000000000004</v>
      </c>
      <c r="F340" s="19">
        <v>57500</v>
      </c>
      <c r="G340" s="1"/>
    </row>
    <row r="341" spans="1:7">
      <c r="A341" s="4">
        <v>17</v>
      </c>
      <c r="B341" s="4">
        <v>15</v>
      </c>
      <c r="C341" s="4">
        <v>-4.6690000000000016E-2</v>
      </c>
      <c r="D341" s="4">
        <v>3.2520000000000014E-2</v>
      </c>
      <c r="E341" s="4">
        <v>-7.921000000000003E-2</v>
      </c>
      <c r="F341" s="19">
        <v>82500</v>
      </c>
      <c r="G341" s="1"/>
    </row>
    <row r="342" spans="1:7">
      <c r="A342" s="4">
        <v>17</v>
      </c>
      <c r="B342" s="4">
        <v>16</v>
      </c>
      <c r="C342" s="4">
        <v>-1.3440000000000006E-2</v>
      </c>
      <c r="D342" s="4">
        <v>2.7390000000000012E-2</v>
      </c>
      <c r="E342" s="4">
        <v>-4.0830000000000019E-2</v>
      </c>
      <c r="F342" s="19">
        <v>145000</v>
      </c>
      <c r="G342" s="1"/>
    </row>
    <row r="343" spans="1:7">
      <c r="A343" s="4">
        <v>17</v>
      </c>
      <c r="B343" s="4">
        <v>17</v>
      </c>
      <c r="C343" s="4">
        <v>-3.0570000000000011E-3</v>
      </c>
      <c r="D343" s="4">
        <v>-2.6910000000000011E-3</v>
      </c>
      <c r="E343" s="4">
        <v>-3.6600000000000017E-4</v>
      </c>
      <c r="F343" s="19">
        <v>205000</v>
      </c>
      <c r="G343" s="1"/>
    </row>
    <row r="344" spans="1:7">
      <c r="A344" s="4">
        <v>17</v>
      </c>
      <c r="B344" s="4">
        <v>18</v>
      </c>
      <c r="C344" s="4">
        <v>9.2120000000000032E-3</v>
      </c>
      <c r="D344" s="4">
        <v>-3.6970000000000017E-2</v>
      </c>
      <c r="E344" s="4">
        <v>4.618000000000002E-2</v>
      </c>
      <c r="F344" s="19">
        <v>162000</v>
      </c>
      <c r="G344" s="1"/>
    </row>
    <row r="345" spans="1:7">
      <c r="A345" s="4">
        <v>17</v>
      </c>
      <c r="B345" s="4">
        <v>19</v>
      </c>
      <c r="C345" s="4">
        <v>7.3740000000000028E-2</v>
      </c>
      <c r="D345" s="4">
        <v>-3.9830000000000018E-2</v>
      </c>
      <c r="E345" s="4">
        <v>0.11360000000000003</v>
      </c>
      <c r="F345" s="19">
        <v>103000</v>
      </c>
      <c r="G345" s="1"/>
    </row>
    <row r="346" spans="1:7">
      <c r="A346" s="4">
        <v>17</v>
      </c>
      <c r="B346" s="4">
        <v>20</v>
      </c>
      <c r="C346" s="4">
        <v>0.16540000000000005</v>
      </c>
      <c r="D346" s="4">
        <v>-0.10970000000000003</v>
      </c>
      <c r="E346" s="4">
        <v>0.27510000000000007</v>
      </c>
      <c r="F346" s="19">
        <v>68500</v>
      </c>
      <c r="G346" s="1"/>
    </row>
    <row r="347" spans="1:7">
      <c r="A347" s="4">
        <v>18</v>
      </c>
      <c r="B347" s="4">
        <v>1</v>
      </c>
      <c r="C347" s="4">
        <v>-0.84570000000000023</v>
      </c>
      <c r="D347" s="4">
        <v>-4.4520000000000018E-2</v>
      </c>
      <c r="E347" s="4">
        <v>-0.80120000000000025</v>
      </c>
      <c r="F347" s="19">
        <v>7800</v>
      </c>
      <c r="G347" s="1"/>
    </row>
    <row r="348" spans="1:7">
      <c r="A348" s="4">
        <v>18</v>
      </c>
      <c r="B348" s="4">
        <v>2</v>
      </c>
      <c r="C348" s="4">
        <v>-0.56180000000000019</v>
      </c>
      <c r="D348" s="4">
        <v>-3.2060000000000012E-2</v>
      </c>
      <c r="E348" s="4">
        <v>-0.52970000000000017</v>
      </c>
      <c r="F348" s="19">
        <v>5700</v>
      </c>
      <c r="G348" s="1"/>
    </row>
    <row r="349" spans="1:7">
      <c r="A349" s="4">
        <v>18</v>
      </c>
      <c r="B349" s="4">
        <v>3</v>
      </c>
      <c r="C349" s="4">
        <v>-0.49900000000000017</v>
      </c>
      <c r="D349" s="4">
        <v>-2.267000000000001E-2</v>
      </c>
      <c r="E349" s="4">
        <v>-0.47640000000000016</v>
      </c>
      <c r="F349" s="19">
        <v>5700</v>
      </c>
      <c r="G349" s="1"/>
    </row>
    <row r="350" spans="1:7">
      <c r="A350" s="4">
        <v>18</v>
      </c>
      <c r="B350" s="4">
        <v>4</v>
      </c>
      <c r="C350" s="4">
        <v>-0.45150000000000012</v>
      </c>
      <c r="D350" s="4">
        <v>-1.2340000000000005E-2</v>
      </c>
      <c r="E350" s="4">
        <v>-0.43920000000000015</v>
      </c>
      <c r="F350" s="19">
        <v>6200</v>
      </c>
      <c r="G350" s="1"/>
    </row>
    <row r="351" spans="1:7">
      <c r="A351" s="4">
        <v>18</v>
      </c>
      <c r="B351" s="4">
        <v>5</v>
      </c>
      <c r="C351" s="4">
        <v>-0.39490000000000014</v>
      </c>
      <c r="D351" s="4">
        <v>1.1750000000000005E-2</v>
      </c>
      <c r="E351" s="4">
        <v>-0.40660000000000013</v>
      </c>
      <c r="F351" s="19">
        <v>7100</v>
      </c>
      <c r="G351" s="1"/>
    </row>
    <row r="352" spans="1:7">
      <c r="A352" s="4">
        <v>18</v>
      </c>
      <c r="B352" s="4">
        <v>6</v>
      </c>
      <c r="C352" s="4">
        <v>-0.36470000000000014</v>
      </c>
      <c r="D352" s="4">
        <v>1.4360000000000006E-2</v>
      </c>
      <c r="E352" s="4">
        <v>-0.37900000000000011</v>
      </c>
      <c r="F352" s="19">
        <v>7800</v>
      </c>
      <c r="G352" s="1"/>
    </row>
    <row r="353" spans="1:7">
      <c r="A353" s="4">
        <v>18</v>
      </c>
      <c r="B353" s="4">
        <v>7</v>
      </c>
      <c r="C353" s="4">
        <v>-0.32450000000000012</v>
      </c>
      <c r="D353" s="4">
        <v>2.7630000000000012E-2</v>
      </c>
      <c r="E353" s="4">
        <v>-0.35220000000000012</v>
      </c>
      <c r="F353" s="19">
        <v>8900</v>
      </c>
      <c r="G353" s="1"/>
    </row>
    <row r="354" spans="1:7">
      <c r="A354" s="4">
        <v>18</v>
      </c>
      <c r="B354" s="4">
        <v>8</v>
      </c>
      <c r="C354" s="4">
        <v>-0.2919000000000001</v>
      </c>
      <c r="D354" s="4">
        <v>3.3460000000000018E-2</v>
      </c>
      <c r="E354" s="4">
        <v>-0.32540000000000008</v>
      </c>
      <c r="F354" s="19">
        <v>10500</v>
      </c>
      <c r="G354" s="1"/>
    </row>
    <row r="355" spans="1:7">
      <c r="A355" s="4">
        <v>18</v>
      </c>
      <c r="B355" s="4">
        <v>9</v>
      </c>
      <c r="C355" s="4">
        <v>-0.25190000000000007</v>
      </c>
      <c r="D355" s="4">
        <v>4.7550000000000023E-2</v>
      </c>
      <c r="E355" s="4">
        <v>-0.2995000000000001</v>
      </c>
      <c r="F355" s="19">
        <v>12500</v>
      </c>
      <c r="G355" s="1"/>
    </row>
    <row r="356" spans="1:7">
      <c r="A356" s="4">
        <v>18</v>
      </c>
      <c r="B356" s="4">
        <v>10</v>
      </c>
      <c r="C356" s="4">
        <v>-0.22720000000000007</v>
      </c>
      <c r="D356" s="4">
        <v>4.6550000000000022E-2</v>
      </c>
      <c r="E356" s="4">
        <v>-0.27370000000000011</v>
      </c>
      <c r="F356" s="19">
        <v>14500</v>
      </c>
      <c r="G356" s="1"/>
    </row>
    <row r="357" spans="1:7">
      <c r="A357" s="4">
        <v>18</v>
      </c>
      <c r="B357" s="4">
        <v>11</v>
      </c>
      <c r="C357" s="4">
        <v>-0.19710000000000005</v>
      </c>
      <c r="D357" s="4">
        <v>5.0340000000000024E-2</v>
      </c>
      <c r="E357" s="4">
        <v>-0.24750000000000008</v>
      </c>
      <c r="F357" s="19">
        <v>17500</v>
      </c>
      <c r="G357" s="1"/>
    </row>
    <row r="358" spans="1:7">
      <c r="A358" s="4">
        <v>18</v>
      </c>
      <c r="B358" s="4">
        <v>12</v>
      </c>
      <c r="C358" s="4">
        <v>-0.16450000000000006</v>
      </c>
      <c r="D358" s="4">
        <v>5.6250000000000022E-2</v>
      </c>
      <c r="E358" s="4">
        <v>-0.22070000000000006</v>
      </c>
      <c r="F358" s="19">
        <v>21000</v>
      </c>
      <c r="G358" s="1"/>
    </row>
    <row r="359" spans="1:7">
      <c r="A359" s="4">
        <v>18</v>
      </c>
      <c r="B359" s="4">
        <v>13</v>
      </c>
      <c r="C359" s="4">
        <v>-0.13640000000000005</v>
      </c>
      <c r="D359" s="4">
        <v>5.6150000000000026E-2</v>
      </c>
      <c r="E359" s="4">
        <v>-0.19250000000000006</v>
      </c>
      <c r="F359" s="19">
        <v>26500</v>
      </c>
      <c r="G359" s="1"/>
    </row>
    <row r="360" spans="1:7">
      <c r="A360" s="4">
        <v>18</v>
      </c>
      <c r="B360" s="4">
        <v>14</v>
      </c>
      <c r="C360" s="4">
        <v>-0.11130000000000004</v>
      </c>
      <c r="D360" s="4">
        <v>5.1540000000000023E-2</v>
      </c>
      <c r="E360" s="4">
        <v>-0.16290000000000004</v>
      </c>
      <c r="F360" s="19">
        <v>35000</v>
      </c>
      <c r="G360" s="1"/>
    </row>
    <row r="361" spans="1:7">
      <c r="A361" s="4">
        <v>18</v>
      </c>
      <c r="B361" s="4">
        <v>15</v>
      </c>
      <c r="C361" s="4">
        <v>-7.964000000000003E-2</v>
      </c>
      <c r="D361" s="4">
        <v>4.9820000000000024E-2</v>
      </c>
      <c r="E361" s="4">
        <v>-0.12950000000000003</v>
      </c>
      <c r="F361" s="19">
        <v>48000</v>
      </c>
      <c r="G361" s="1"/>
    </row>
    <row r="362" spans="1:7">
      <c r="A362" s="4">
        <v>18</v>
      </c>
      <c r="B362" s="4">
        <v>16</v>
      </c>
      <c r="C362" s="4">
        <v>-4.6220000000000018E-2</v>
      </c>
      <c r="D362" s="4">
        <v>4.4970000000000017E-2</v>
      </c>
      <c r="E362" s="4">
        <v>-9.1190000000000035E-2</v>
      </c>
      <c r="F362" s="19">
        <v>81500</v>
      </c>
      <c r="G362" s="1"/>
    </row>
    <row r="363" spans="1:7">
      <c r="A363" s="4">
        <v>18</v>
      </c>
      <c r="B363" s="4">
        <v>17</v>
      </c>
      <c r="C363" s="4">
        <v>-2.3530000000000009E-2</v>
      </c>
      <c r="D363" s="4">
        <v>1.7550000000000007E-2</v>
      </c>
      <c r="E363" s="4">
        <v>-4.1080000000000019E-2</v>
      </c>
      <c r="F363" s="19">
        <v>184000</v>
      </c>
      <c r="G363" s="1"/>
    </row>
    <row r="364" spans="1:7">
      <c r="A364" s="4">
        <v>18</v>
      </c>
      <c r="B364" s="4">
        <v>18</v>
      </c>
      <c r="C364" s="4">
        <v>-5.0570000000000025E-2</v>
      </c>
      <c r="D364" s="4">
        <v>-5.7740000000000027E-2</v>
      </c>
      <c r="E364" s="4">
        <v>7.1700000000000028E-3</v>
      </c>
      <c r="F364" s="19">
        <v>384000</v>
      </c>
      <c r="G364" s="1"/>
    </row>
    <row r="365" spans="1:7">
      <c r="A365" s="4">
        <v>18</v>
      </c>
      <c r="B365" s="4">
        <v>19</v>
      </c>
      <c r="C365" s="4">
        <v>2.9440000000000011E-2</v>
      </c>
      <c r="D365" s="4">
        <v>-3.1080000000000014E-2</v>
      </c>
      <c r="E365" s="4">
        <v>6.0520000000000025E-2</v>
      </c>
      <c r="F365" s="19">
        <v>186000</v>
      </c>
      <c r="G365" s="1"/>
    </row>
    <row r="366" spans="1:7">
      <c r="A366" s="4">
        <v>18</v>
      </c>
      <c r="B366" s="4">
        <v>20</v>
      </c>
      <c r="C366" s="4">
        <v>0.13450000000000004</v>
      </c>
      <c r="D366" s="4">
        <v>-8.7110000000000035E-2</v>
      </c>
      <c r="E366" s="4">
        <v>0.22160000000000007</v>
      </c>
      <c r="F366" s="19">
        <v>98500</v>
      </c>
      <c r="G366" s="1"/>
    </row>
    <row r="367" spans="1:7">
      <c r="A367" s="4">
        <v>19</v>
      </c>
      <c r="B367" s="4">
        <v>1</v>
      </c>
      <c r="C367" s="4">
        <v>-0.92600000000000027</v>
      </c>
      <c r="D367" s="4">
        <v>-5.3140000000000021E-2</v>
      </c>
      <c r="E367" s="4">
        <v>-0.87280000000000024</v>
      </c>
      <c r="F367" s="19">
        <v>7200</v>
      </c>
      <c r="G367" s="1"/>
    </row>
    <row r="368" spans="1:7">
      <c r="A368" s="4">
        <v>19</v>
      </c>
      <c r="B368" s="4">
        <v>2</v>
      </c>
      <c r="C368" s="4">
        <v>-0.65260000000000018</v>
      </c>
      <c r="D368" s="4">
        <v>-5.502000000000002E-2</v>
      </c>
      <c r="E368" s="4">
        <v>-0.59760000000000024</v>
      </c>
      <c r="F368" s="19">
        <v>5000</v>
      </c>
      <c r="G368" s="1"/>
    </row>
    <row r="369" spans="1:7">
      <c r="A369" s="4">
        <v>19</v>
      </c>
      <c r="B369" s="4">
        <v>3</v>
      </c>
      <c r="C369" s="4">
        <v>-0.58660000000000023</v>
      </c>
      <c r="D369" s="4">
        <v>-4.2030000000000019E-2</v>
      </c>
      <c r="E369" s="4">
        <v>-0.5446000000000002</v>
      </c>
      <c r="F369" s="19">
        <v>4900</v>
      </c>
      <c r="G369" s="1"/>
    </row>
    <row r="370" spans="1:7">
      <c r="A370" s="4">
        <v>19</v>
      </c>
      <c r="B370" s="4">
        <v>4</v>
      </c>
      <c r="C370" s="4">
        <v>-0.52560000000000018</v>
      </c>
      <c r="D370" s="4">
        <v>-1.8850000000000009E-2</v>
      </c>
      <c r="E370" s="4">
        <v>-0.50670000000000015</v>
      </c>
      <c r="F370" s="19">
        <v>5200</v>
      </c>
      <c r="G370" s="1"/>
    </row>
    <row r="371" spans="1:7">
      <c r="A371" s="4">
        <v>19</v>
      </c>
      <c r="B371" s="4">
        <v>5</v>
      </c>
      <c r="C371" s="4">
        <v>-0.48660000000000014</v>
      </c>
      <c r="D371" s="4">
        <v>-1.1930000000000005E-2</v>
      </c>
      <c r="E371" s="4">
        <v>-0.47470000000000018</v>
      </c>
      <c r="F371" s="19">
        <v>5600</v>
      </c>
      <c r="G371" s="1"/>
    </row>
    <row r="372" spans="1:7">
      <c r="A372" s="4">
        <v>19</v>
      </c>
      <c r="B372" s="4">
        <v>6</v>
      </c>
      <c r="C372" s="4">
        <v>-0.43120000000000014</v>
      </c>
      <c r="D372" s="4">
        <v>1.5760000000000007E-2</v>
      </c>
      <c r="E372" s="4">
        <v>-0.44700000000000012</v>
      </c>
      <c r="F372" s="19">
        <v>6800</v>
      </c>
      <c r="G372" s="1"/>
    </row>
    <row r="373" spans="1:7">
      <c r="A373" s="4">
        <v>19</v>
      </c>
      <c r="B373" s="4">
        <v>7</v>
      </c>
      <c r="C373" s="4">
        <v>-0.39340000000000014</v>
      </c>
      <c r="D373" s="4">
        <v>2.7160000000000011E-2</v>
      </c>
      <c r="E373" s="4">
        <v>-0.42050000000000015</v>
      </c>
      <c r="F373" s="19">
        <v>7300</v>
      </c>
      <c r="G373" s="1"/>
    </row>
    <row r="374" spans="1:7">
      <c r="A374" s="4">
        <v>19</v>
      </c>
      <c r="B374" s="4">
        <v>8</v>
      </c>
      <c r="C374" s="4">
        <v>-0.3590000000000001</v>
      </c>
      <c r="D374" s="4">
        <v>3.4900000000000014E-2</v>
      </c>
      <c r="E374" s="4">
        <v>-0.39390000000000014</v>
      </c>
      <c r="F374" s="19">
        <v>8400</v>
      </c>
      <c r="G374" s="1"/>
    </row>
    <row r="375" spans="1:7">
      <c r="A375" s="4">
        <v>19</v>
      </c>
      <c r="B375" s="4">
        <v>9</v>
      </c>
      <c r="C375" s="4">
        <v>-0.32790000000000008</v>
      </c>
      <c r="D375" s="4">
        <v>3.8620000000000015E-2</v>
      </c>
      <c r="E375" s="4">
        <v>-0.36660000000000009</v>
      </c>
      <c r="F375" s="19">
        <v>9800</v>
      </c>
      <c r="G375" s="1"/>
    </row>
    <row r="376" spans="1:7">
      <c r="A376" s="4">
        <v>19</v>
      </c>
      <c r="B376" s="4">
        <v>10</v>
      </c>
      <c r="C376" s="4">
        <v>-0.2960000000000001</v>
      </c>
      <c r="D376" s="4">
        <v>4.5280000000000022E-2</v>
      </c>
      <c r="E376" s="4">
        <v>-0.3413000000000001</v>
      </c>
      <c r="F376" s="19">
        <v>11500</v>
      </c>
      <c r="G376" s="1"/>
    </row>
    <row r="377" spans="1:7">
      <c r="A377" s="4">
        <v>19</v>
      </c>
      <c r="B377" s="4">
        <v>11</v>
      </c>
      <c r="C377" s="4">
        <v>-0.26880000000000009</v>
      </c>
      <c r="D377" s="4">
        <v>4.6140000000000021E-2</v>
      </c>
      <c r="E377" s="4">
        <v>-0.31500000000000011</v>
      </c>
      <c r="F377" s="19">
        <v>13500</v>
      </c>
      <c r="G377" s="1"/>
    </row>
    <row r="378" spans="1:7">
      <c r="A378" s="4">
        <v>19</v>
      </c>
      <c r="B378" s="4">
        <v>12</v>
      </c>
      <c r="C378" s="4">
        <v>-0.23480000000000006</v>
      </c>
      <c r="D378" s="4">
        <v>5.2360000000000025E-2</v>
      </c>
      <c r="E378" s="4">
        <v>-0.28720000000000007</v>
      </c>
      <c r="F378" s="19">
        <v>16000</v>
      </c>
      <c r="G378" s="1"/>
    </row>
    <row r="379" spans="1:7">
      <c r="A379" s="4">
        <v>19</v>
      </c>
      <c r="B379" s="4">
        <v>13</v>
      </c>
      <c r="C379" s="4">
        <v>-0.20000000000000007</v>
      </c>
      <c r="D379" s="4">
        <v>5.9840000000000025E-2</v>
      </c>
      <c r="E379" s="4">
        <v>-0.25990000000000008</v>
      </c>
      <c r="F379" s="19">
        <v>20000</v>
      </c>
      <c r="G379" s="1"/>
    </row>
    <row r="380" spans="1:7">
      <c r="A380" s="4">
        <v>19</v>
      </c>
      <c r="B380" s="4">
        <v>14</v>
      </c>
      <c r="C380" s="4">
        <v>-0.16780000000000006</v>
      </c>
      <c r="D380" s="4">
        <v>6.2100000000000023E-2</v>
      </c>
      <c r="E380" s="4">
        <v>-0.22990000000000008</v>
      </c>
      <c r="F380" s="19">
        <v>25000</v>
      </c>
      <c r="G380" s="1"/>
    </row>
    <row r="381" spans="1:7">
      <c r="A381" s="4">
        <v>19</v>
      </c>
      <c r="B381" s="4">
        <v>15</v>
      </c>
      <c r="C381" s="4">
        <v>-0.13100000000000003</v>
      </c>
      <c r="D381" s="4">
        <v>6.6430000000000031E-2</v>
      </c>
      <c r="E381" s="4">
        <v>-0.19750000000000006</v>
      </c>
      <c r="F381" s="19">
        <v>34500</v>
      </c>
      <c r="G381" s="1"/>
    </row>
    <row r="382" spans="1:7">
      <c r="A382" s="4">
        <v>19</v>
      </c>
      <c r="B382" s="4">
        <v>16</v>
      </c>
      <c r="C382" s="4">
        <v>-0.10120000000000003</v>
      </c>
      <c r="D382" s="4">
        <v>5.8170000000000027E-2</v>
      </c>
      <c r="E382" s="4">
        <v>-0.15940000000000004</v>
      </c>
      <c r="F382" s="19">
        <v>53000</v>
      </c>
      <c r="G382" s="1"/>
    </row>
    <row r="383" spans="1:7">
      <c r="A383" s="4">
        <v>19</v>
      </c>
      <c r="B383" s="4">
        <v>17</v>
      </c>
      <c r="C383" s="4">
        <v>-5.8530000000000026E-2</v>
      </c>
      <c r="D383" s="4">
        <v>5.3040000000000025E-2</v>
      </c>
      <c r="E383" s="4">
        <v>-0.11160000000000003</v>
      </c>
      <c r="F383" s="19">
        <v>86000</v>
      </c>
      <c r="G383" s="1"/>
    </row>
    <row r="384" spans="1:7">
      <c r="A384" s="4">
        <v>19</v>
      </c>
      <c r="B384" s="4">
        <v>18</v>
      </c>
      <c r="C384" s="4">
        <v>-2.7750000000000011E-2</v>
      </c>
      <c r="D384" s="4">
        <v>3.0770000000000013E-2</v>
      </c>
      <c r="E384" s="4">
        <v>-5.8510000000000027E-2</v>
      </c>
      <c r="F384" s="19">
        <v>156000</v>
      </c>
      <c r="G384" s="1"/>
    </row>
    <row r="385" spans="1:7">
      <c r="A385" s="4">
        <v>19</v>
      </c>
      <c r="B385" s="4">
        <v>19</v>
      </c>
      <c r="C385" s="4">
        <v>7.2870000000000027E-3</v>
      </c>
      <c r="D385" s="4">
        <v>4.6870000000000019E-3</v>
      </c>
      <c r="E385" s="4">
        <v>2.6000000000000012E-3</v>
      </c>
      <c r="F385" s="19">
        <v>321000</v>
      </c>
      <c r="G385" s="1"/>
    </row>
    <row r="386" spans="1:7">
      <c r="A386" s="4">
        <v>19</v>
      </c>
      <c r="B386" s="4">
        <v>20</v>
      </c>
      <c r="C386" s="4">
        <v>6.7870000000000028E-2</v>
      </c>
      <c r="D386" s="4">
        <v>-7.2100000000000025E-2</v>
      </c>
      <c r="E386" s="4">
        <v>0.14000000000000004</v>
      </c>
      <c r="F386" s="19">
        <v>211000</v>
      </c>
      <c r="G386" s="1"/>
    </row>
    <row r="387" spans="1:7">
      <c r="A387" s="4">
        <v>20</v>
      </c>
      <c r="B387" s="4">
        <v>1</v>
      </c>
      <c r="C387" s="4">
        <v>-1.1300000000000003</v>
      </c>
      <c r="D387" s="4">
        <v>-5.8950000000000023E-2</v>
      </c>
      <c r="E387" s="4">
        <v>-1.0710000000000002</v>
      </c>
      <c r="F387" s="19">
        <v>7700</v>
      </c>
      <c r="G387" s="1"/>
    </row>
    <row r="388" spans="1:7">
      <c r="A388" s="4">
        <v>20</v>
      </c>
      <c r="B388" s="4">
        <v>2</v>
      </c>
      <c r="C388" s="4">
        <v>-0.84650000000000025</v>
      </c>
      <c r="D388" s="4">
        <v>-6.4240000000000033E-2</v>
      </c>
      <c r="E388" s="4">
        <v>-0.78230000000000022</v>
      </c>
      <c r="F388" s="19">
        <v>4600</v>
      </c>
      <c r="G388" s="1"/>
    </row>
    <row r="389" spans="1:7">
      <c r="A389" s="4">
        <v>20</v>
      </c>
      <c r="B389" s="4">
        <v>3</v>
      </c>
      <c r="C389" s="4">
        <v>-0.76790000000000025</v>
      </c>
      <c r="D389" s="4">
        <v>-3.9380000000000019E-2</v>
      </c>
      <c r="E389" s="4">
        <v>-0.72850000000000026</v>
      </c>
      <c r="F389" s="19">
        <v>4300</v>
      </c>
      <c r="G389" s="1"/>
    </row>
    <row r="390" spans="1:7">
      <c r="A390" s="4">
        <v>20</v>
      </c>
      <c r="B390" s="4">
        <v>4</v>
      </c>
      <c r="C390" s="4">
        <v>-0.71620000000000028</v>
      </c>
      <c r="D390" s="4">
        <v>-3.4010000000000012E-2</v>
      </c>
      <c r="E390" s="4">
        <v>-0.68220000000000025</v>
      </c>
      <c r="F390" s="19">
        <v>4400</v>
      </c>
      <c r="G390" s="1"/>
    </row>
    <row r="391" spans="1:7">
      <c r="A391" s="4">
        <v>20</v>
      </c>
      <c r="B391" s="4">
        <v>5</v>
      </c>
      <c r="C391" s="4">
        <v>-0.68820000000000026</v>
      </c>
      <c r="D391" s="4">
        <v>-3.5970000000000016E-2</v>
      </c>
      <c r="E391" s="4">
        <v>-0.65220000000000022</v>
      </c>
      <c r="F391" s="19">
        <v>4700</v>
      </c>
      <c r="G391" s="1"/>
    </row>
    <row r="392" spans="1:7">
      <c r="A392" s="4">
        <v>20</v>
      </c>
      <c r="B392" s="4">
        <v>6</v>
      </c>
      <c r="C392" s="4">
        <v>-0.6323000000000002</v>
      </c>
      <c r="D392" s="4">
        <v>-8.8280000000000025E-3</v>
      </c>
      <c r="E392" s="4">
        <v>-0.62350000000000017</v>
      </c>
      <c r="F392" s="19">
        <v>5700</v>
      </c>
      <c r="G392" s="1"/>
    </row>
    <row r="393" spans="1:7">
      <c r="A393" s="4">
        <v>20</v>
      </c>
      <c r="B393" s="4">
        <v>7</v>
      </c>
      <c r="C393" s="4">
        <v>-0.60180000000000022</v>
      </c>
      <c r="D393" s="4">
        <v>-2.2580000000000009E-3</v>
      </c>
      <c r="E393" s="4">
        <v>-0.59950000000000014</v>
      </c>
      <c r="F393" s="19">
        <v>5800</v>
      </c>
      <c r="G393" s="1"/>
    </row>
    <row r="394" spans="1:7">
      <c r="A394" s="4">
        <v>20</v>
      </c>
      <c r="B394" s="4">
        <v>8</v>
      </c>
      <c r="C394" s="4">
        <v>-0.56040000000000023</v>
      </c>
      <c r="D394" s="4">
        <v>9.1290000000000034E-3</v>
      </c>
      <c r="E394" s="4">
        <v>-0.56950000000000023</v>
      </c>
      <c r="F394" s="19">
        <v>6800</v>
      </c>
      <c r="G394" s="1"/>
    </row>
    <row r="395" spans="1:7">
      <c r="A395" s="4">
        <v>20</v>
      </c>
      <c r="B395" s="4">
        <v>9</v>
      </c>
      <c r="C395" s="4">
        <v>-0.52520000000000022</v>
      </c>
      <c r="D395" s="4">
        <v>1.3860000000000006E-2</v>
      </c>
      <c r="E395" s="4">
        <v>-0.53900000000000015</v>
      </c>
      <c r="F395" s="19">
        <v>7500</v>
      </c>
      <c r="G395" s="1"/>
    </row>
    <row r="396" spans="1:7">
      <c r="A396" s="4">
        <v>20</v>
      </c>
      <c r="B396" s="4">
        <v>10</v>
      </c>
      <c r="C396" s="4">
        <v>-0.48740000000000017</v>
      </c>
      <c r="D396" s="4">
        <v>2.8750000000000012E-2</v>
      </c>
      <c r="E396" s="4">
        <v>-0.51620000000000021</v>
      </c>
      <c r="F396" s="19">
        <v>8500</v>
      </c>
      <c r="G396" s="1"/>
    </row>
    <row r="397" spans="1:7">
      <c r="A397" s="4">
        <v>20</v>
      </c>
      <c r="B397" s="4">
        <v>11</v>
      </c>
      <c r="C397" s="4">
        <v>-0.44820000000000015</v>
      </c>
      <c r="D397" s="4">
        <v>3.5020000000000016E-2</v>
      </c>
      <c r="E397" s="4">
        <v>-0.48320000000000013</v>
      </c>
      <c r="F397" s="19">
        <v>9700</v>
      </c>
      <c r="G397" s="1"/>
    </row>
    <row r="398" spans="1:7">
      <c r="A398" s="4">
        <v>20</v>
      </c>
      <c r="B398" s="4">
        <v>12</v>
      </c>
      <c r="C398" s="4">
        <v>-0.42220000000000013</v>
      </c>
      <c r="D398" s="4">
        <v>3.1210000000000012E-2</v>
      </c>
      <c r="E398" s="4">
        <v>-0.45340000000000014</v>
      </c>
      <c r="F398" s="19">
        <v>11000</v>
      </c>
      <c r="G398" s="1"/>
    </row>
    <row r="399" spans="1:7">
      <c r="A399" s="4">
        <v>20</v>
      </c>
      <c r="B399" s="4">
        <v>13</v>
      </c>
      <c r="C399" s="4">
        <v>-0.38760000000000011</v>
      </c>
      <c r="D399" s="4">
        <v>3.3620000000000011E-2</v>
      </c>
      <c r="E399" s="4">
        <v>-0.42120000000000013</v>
      </c>
      <c r="F399" s="19">
        <v>13000</v>
      </c>
      <c r="G399" s="1"/>
    </row>
    <row r="400" spans="1:7">
      <c r="A400" s="4">
        <v>20</v>
      </c>
      <c r="B400" s="4">
        <v>14</v>
      </c>
      <c r="C400" s="4">
        <v>-0.34150000000000008</v>
      </c>
      <c r="D400" s="4">
        <v>4.7090000000000021E-2</v>
      </c>
      <c r="E400" s="4">
        <v>-0.38860000000000011</v>
      </c>
      <c r="F400" s="19">
        <v>16000</v>
      </c>
      <c r="G400" s="1"/>
    </row>
    <row r="401" spans="1:7">
      <c r="A401" s="4">
        <v>20</v>
      </c>
      <c r="B401" s="4">
        <v>15</v>
      </c>
      <c r="C401" s="4">
        <v>-0.30080000000000012</v>
      </c>
      <c r="D401" s="4">
        <v>5.1890000000000019E-2</v>
      </c>
      <c r="E401" s="4">
        <v>-0.35270000000000012</v>
      </c>
      <c r="F401" s="19">
        <v>21000</v>
      </c>
      <c r="G401" s="1"/>
    </row>
    <row r="402" spans="1:7">
      <c r="A402" s="4">
        <v>20</v>
      </c>
      <c r="B402" s="4">
        <v>16</v>
      </c>
      <c r="C402" s="4">
        <v>-0.24190000000000009</v>
      </c>
      <c r="D402" s="4">
        <v>6.994000000000003E-2</v>
      </c>
      <c r="E402" s="4">
        <v>-0.31180000000000008</v>
      </c>
      <c r="F402" s="19">
        <v>29000</v>
      </c>
      <c r="G402" s="1"/>
    </row>
    <row r="403" spans="1:7">
      <c r="A403" s="4">
        <v>20</v>
      </c>
      <c r="B403" s="4">
        <v>17</v>
      </c>
      <c r="C403" s="4">
        <v>-0.20340000000000005</v>
      </c>
      <c r="D403" s="4">
        <v>5.7960000000000025E-2</v>
      </c>
      <c r="E403" s="4">
        <v>-0.26130000000000009</v>
      </c>
      <c r="F403" s="19">
        <v>41000</v>
      </c>
      <c r="G403" s="1"/>
    </row>
    <row r="404" spans="1:7">
      <c r="A404" s="4">
        <v>20</v>
      </c>
      <c r="B404" s="4">
        <v>18</v>
      </c>
      <c r="C404" s="4">
        <v>-0.13930000000000003</v>
      </c>
      <c r="D404" s="4">
        <v>6.2090000000000027E-2</v>
      </c>
      <c r="E404" s="4">
        <v>-0.20140000000000005</v>
      </c>
      <c r="F404" s="19">
        <v>66500</v>
      </c>
      <c r="G404" s="1"/>
    </row>
    <row r="405" spans="1:7">
      <c r="A405" s="4">
        <v>20</v>
      </c>
      <c r="B405" s="4">
        <v>19</v>
      </c>
      <c r="C405" s="4">
        <v>-7.2520000000000029E-2</v>
      </c>
      <c r="D405" s="4">
        <v>4.0400000000000019E-2</v>
      </c>
      <c r="E405" s="4">
        <v>-0.11290000000000004</v>
      </c>
      <c r="F405" s="19">
        <v>177000</v>
      </c>
      <c r="G405" s="1"/>
    </row>
    <row r="406" spans="1:7">
      <c r="A406" s="4">
        <v>20</v>
      </c>
      <c r="B406" s="4">
        <v>20</v>
      </c>
      <c r="C406" s="4">
        <v>-2.497000000000001E-2</v>
      </c>
      <c r="D406" s="4">
        <v>-4.1340000000000016E-2</v>
      </c>
      <c r="E406" s="4">
        <v>1.6380000000000006E-2</v>
      </c>
      <c r="F406" s="19">
        <v>544000</v>
      </c>
      <c r="G406" s="1"/>
    </row>
  </sheetData>
  <mergeCells count="1">
    <mergeCell ref="C5:E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65"/>
  <sheetViews>
    <sheetView workbookViewId="0"/>
  </sheetViews>
  <sheetFormatPr baseColWidth="10" defaultColWidth="8.83203125" defaultRowHeight="15"/>
  <cols>
    <col min="1" max="1" width="12.6640625" customWidth="1"/>
    <col min="2" max="3" width="12.6640625" style="1" customWidth="1"/>
    <col min="4" max="5" width="12.6640625" style="4" customWidth="1"/>
    <col min="6" max="17" width="8.83203125" style="1"/>
  </cols>
  <sheetData>
    <row r="1" spans="1:6">
      <c r="A1" s="16" t="s">
        <v>196</v>
      </c>
      <c r="B1"/>
      <c r="C1"/>
      <c r="D1" s="2"/>
      <c r="E1" s="2"/>
      <c r="F1" s="9"/>
    </row>
    <row r="2" spans="1:6">
      <c r="A2" s="9"/>
      <c r="B2"/>
      <c r="C2"/>
      <c r="D2" s="2"/>
      <c r="E2" s="2"/>
    </row>
    <row r="3" spans="1:6">
      <c r="B3"/>
      <c r="C3"/>
      <c r="D3" s="2"/>
      <c r="E3" s="2"/>
    </row>
    <row r="4" spans="1:6">
      <c r="B4"/>
      <c r="C4"/>
      <c r="D4" s="4" t="s">
        <v>181</v>
      </c>
      <c r="E4" s="2"/>
    </row>
    <row r="5" spans="1:6" ht="32">
      <c r="A5" s="12" t="s">
        <v>182</v>
      </c>
      <c r="B5" s="12" t="s">
        <v>183</v>
      </c>
      <c r="C5" s="12" t="s">
        <v>184</v>
      </c>
      <c r="D5" s="14" t="s">
        <v>185</v>
      </c>
      <c r="E5" s="14" t="s">
        <v>186</v>
      </c>
    </row>
    <row r="6" spans="1:6">
      <c r="A6" s="1">
        <v>1</v>
      </c>
      <c r="B6" s="1">
        <v>1</v>
      </c>
      <c r="C6" s="1">
        <v>-5</v>
      </c>
      <c r="D6" s="4">
        <v>9.0960000000000019</v>
      </c>
      <c r="E6" s="19">
        <v>51000</v>
      </c>
    </row>
    <row r="7" spans="1:6">
      <c r="A7" s="1">
        <v>1</v>
      </c>
      <c r="B7" s="1">
        <v>1</v>
      </c>
      <c r="C7" s="1">
        <v>-4</v>
      </c>
      <c r="D7" s="4">
        <v>9.1110000000000024</v>
      </c>
      <c r="E7" s="19">
        <v>51000</v>
      </c>
    </row>
    <row r="8" spans="1:6">
      <c r="A8" s="1">
        <v>1</v>
      </c>
      <c r="B8" s="1">
        <v>1</v>
      </c>
      <c r="C8" s="1">
        <v>-3</v>
      </c>
      <c r="D8" s="4">
        <v>9.0880000000000027</v>
      </c>
      <c r="E8" s="19">
        <v>51000</v>
      </c>
    </row>
    <row r="9" spans="1:6">
      <c r="A9" s="1">
        <v>1</v>
      </c>
      <c r="B9" s="1">
        <v>1</v>
      </c>
      <c r="C9" s="1">
        <v>-2</v>
      </c>
      <c r="D9" s="4">
        <v>9.0920000000000023</v>
      </c>
      <c r="E9" s="19">
        <v>51000</v>
      </c>
    </row>
    <row r="10" spans="1:6">
      <c r="A10" s="1">
        <v>1</v>
      </c>
      <c r="B10" s="1">
        <v>1</v>
      </c>
      <c r="C10" s="1">
        <v>-1</v>
      </c>
      <c r="D10" s="4">
        <v>9.0840000000000014</v>
      </c>
      <c r="E10" s="19">
        <v>51000</v>
      </c>
    </row>
    <row r="11" spans="1:6">
      <c r="A11" s="1">
        <v>1</v>
      </c>
      <c r="B11" s="1">
        <v>1</v>
      </c>
      <c r="C11" s="1">
        <v>0</v>
      </c>
      <c r="D11" s="4">
        <v>9.0700000000000021</v>
      </c>
      <c r="E11" s="19">
        <v>51000</v>
      </c>
    </row>
    <row r="12" spans="1:6">
      <c r="A12" s="1">
        <v>1</v>
      </c>
      <c r="B12" s="1">
        <v>1</v>
      </c>
      <c r="C12" s="1">
        <v>1</v>
      </c>
      <c r="D12" s="4">
        <v>9.0870000000000015</v>
      </c>
      <c r="E12" s="19">
        <v>51000</v>
      </c>
    </row>
    <row r="13" spans="1:6">
      <c r="A13" s="1">
        <v>1</v>
      </c>
      <c r="B13" s="1">
        <v>1</v>
      </c>
      <c r="C13" s="1">
        <v>2</v>
      </c>
      <c r="D13" s="4">
        <v>9.0930000000000017</v>
      </c>
      <c r="E13" s="19">
        <v>51000</v>
      </c>
    </row>
    <row r="14" spans="1:6">
      <c r="A14" s="1">
        <v>1</v>
      </c>
      <c r="B14" s="1">
        <v>1</v>
      </c>
      <c r="C14" s="1">
        <v>3</v>
      </c>
      <c r="D14" s="4">
        <v>9.0880000000000027</v>
      </c>
      <c r="E14" s="19">
        <v>51000</v>
      </c>
    </row>
    <row r="15" spans="1:6">
      <c r="A15" s="1">
        <v>1</v>
      </c>
      <c r="B15" s="1">
        <v>1</v>
      </c>
      <c r="C15" s="1">
        <v>4</v>
      </c>
      <c r="D15" s="4">
        <v>9.0860000000000021</v>
      </c>
      <c r="E15" s="19">
        <v>51000</v>
      </c>
    </row>
    <row r="16" spans="1:6">
      <c r="A16" s="1">
        <v>1</v>
      </c>
      <c r="B16" s="1">
        <v>2</v>
      </c>
      <c r="C16" s="1">
        <v>-5</v>
      </c>
      <c r="D16" s="4">
        <v>9.1370000000000022</v>
      </c>
      <c r="E16" s="19">
        <v>56500</v>
      </c>
    </row>
    <row r="17" spans="1:5">
      <c r="A17" s="1">
        <v>1</v>
      </c>
      <c r="B17" s="1">
        <v>2</v>
      </c>
      <c r="C17" s="1">
        <v>-4</v>
      </c>
      <c r="D17" s="4">
        <v>9.1480000000000015</v>
      </c>
      <c r="E17" s="19">
        <v>56500</v>
      </c>
    </row>
    <row r="18" spans="1:5">
      <c r="A18" s="1">
        <v>1</v>
      </c>
      <c r="B18" s="1">
        <v>2</v>
      </c>
      <c r="C18" s="1">
        <v>-3</v>
      </c>
      <c r="D18" s="4">
        <v>9.1250000000000018</v>
      </c>
      <c r="E18" s="19">
        <v>56500</v>
      </c>
    </row>
    <row r="19" spans="1:5">
      <c r="A19" s="1">
        <v>1</v>
      </c>
      <c r="B19" s="1">
        <v>2</v>
      </c>
      <c r="C19" s="1">
        <v>-2</v>
      </c>
      <c r="D19" s="4">
        <v>9.1300000000000026</v>
      </c>
      <c r="E19" s="19">
        <v>56500</v>
      </c>
    </row>
    <row r="20" spans="1:5">
      <c r="A20" s="1">
        <v>1</v>
      </c>
      <c r="B20" s="1">
        <v>2</v>
      </c>
      <c r="C20" s="1">
        <v>-1</v>
      </c>
      <c r="D20" s="4">
        <v>9.126000000000003</v>
      </c>
      <c r="E20" s="19">
        <v>56500</v>
      </c>
    </row>
    <row r="21" spans="1:5">
      <c r="A21" s="1">
        <v>1</v>
      </c>
      <c r="B21" s="1">
        <v>2</v>
      </c>
      <c r="C21" s="1">
        <v>0</v>
      </c>
      <c r="D21" s="4">
        <v>9.1240000000000023</v>
      </c>
      <c r="E21" s="19">
        <v>56500</v>
      </c>
    </row>
    <row r="22" spans="1:5">
      <c r="A22" s="1">
        <v>1</v>
      </c>
      <c r="B22" s="1">
        <v>2</v>
      </c>
      <c r="C22" s="1">
        <v>1</v>
      </c>
      <c r="D22" s="4">
        <v>9.1410000000000018</v>
      </c>
      <c r="E22" s="19">
        <v>56500</v>
      </c>
    </row>
    <row r="23" spans="1:5">
      <c r="A23" s="1">
        <v>1</v>
      </c>
      <c r="B23" s="1">
        <v>2</v>
      </c>
      <c r="C23" s="1">
        <v>2</v>
      </c>
      <c r="D23" s="4">
        <v>9.1440000000000019</v>
      </c>
      <c r="E23" s="19">
        <v>56500</v>
      </c>
    </row>
    <row r="24" spans="1:5">
      <c r="A24" s="1">
        <v>1</v>
      </c>
      <c r="B24" s="1">
        <v>2</v>
      </c>
      <c r="C24" s="1">
        <v>3</v>
      </c>
      <c r="D24" s="4">
        <v>9.1380000000000017</v>
      </c>
      <c r="E24" s="19">
        <v>56500</v>
      </c>
    </row>
    <row r="25" spans="1:5">
      <c r="A25" s="1">
        <v>1</v>
      </c>
      <c r="B25" s="1">
        <v>2</v>
      </c>
      <c r="C25" s="1">
        <v>4</v>
      </c>
      <c r="D25" s="4">
        <v>9.1370000000000022</v>
      </c>
      <c r="E25" s="19">
        <v>56500</v>
      </c>
    </row>
    <row r="26" spans="1:5">
      <c r="A26" s="1">
        <v>1</v>
      </c>
      <c r="B26" s="1">
        <v>3</v>
      </c>
      <c r="C26" s="1">
        <v>-5</v>
      </c>
      <c r="D26" s="4">
        <v>9.1820000000000022</v>
      </c>
      <c r="E26" s="19">
        <v>69000</v>
      </c>
    </row>
    <row r="27" spans="1:5">
      <c r="A27" s="1">
        <v>1</v>
      </c>
      <c r="B27" s="1">
        <v>3</v>
      </c>
      <c r="C27" s="1">
        <v>-4</v>
      </c>
      <c r="D27" s="4">
        <v>9.1940000000000026</v>
      </c>
      <c r="E27" s="19">
        <v>69000</v>
      </c>
    </row>
    <row r="28" spans="1:5">
      <c r="A28" s="1">
        <v>1</v>
      </c>
      <c r="B28" s="1">
        <v>3</v>
      </c>
      <c r="C28" s="1">
        <v>-3</v>
      </c>
      <c r="D28" s="4">
        <v>9.1720000000000024</v>
      </c>
      <c r="E28" s="19">
        <v>69000</v>
      </c>
    </row>
    <row r="29" spans="1:5">
      <c r="A29" s="1">
        <v>1</v>
      </c>
      <c r="B29" s="1">
        <v>3</v>
      </c>
      <c r="C29" s="1">
        <v>-2</v>
      </c>
      <c r="D29" s="4">
        <v>9.179000000000002</v>
      </c>
      <c r="E29" s="19">
        <v>69000</v>
      </c>
    </row>
    <row r="30" spans="1:5">
      <c r="A30" s="1">
        <v>1</v>
      </c>
      <c r="B30" s="1">
        <v>3</v>
      </c>
      <c r="C30" s="1">
        <v>-1</v>
      </c>
      <c r="D30" s="4">
        <v>9.1700000000000017</v>
      </c>
      <c r="E30" s="19">
        <v>69000</v>
      </c>
    </row>
    <row r="31" spans="1:5">
      <c r="A31" s="1">
        <v>1</v>
      </c>
      <c r="B31" s="1">
        <v>3</v>
      </c>
      <c r="C31" s="1">
        <v>0</v>
      </c>
      <c r="D31" s="4">
        <v>9.1830000000000016</v>
      </c>
      <c r="E31" s="19">
        <v>69000</v>
      </c>
    </row>
    <row r="32" spans="1:5">
      <c r="A32" s="1">
        <v>1</v>
      </c>
      <c r="B32" s="1">
        <v>3</v>
      </c>
      <c r="C32" s="1">
        <v>1</v>
      </c>
      <c r="D32" s="4">
        <v>9.1980000000000022</v>
      </c>
      <c r="E32" s="19">
        <v>69000</v>
      </c>
    </row>
    <row r="33" spans="1:5">
      <c r="A33" s="1">
        <v>1</v>
      </c>
      <c r="B33" s="1">
        <v>3</v>
      </c>
      <c r="C33" s="1">
        <v>2</v>
      </c>
      <c r="D33" s="4">
        <v>9.203000000000003</v>
      </c>
      <c r="E33" s="19">
        <v>69000</v>
      </c>
    </row>
    <row r="34" spans="1:5">
      <c r="A34" s="1">
        <v>1</v>
      </c>
      <c r="B34" s="1">
        <v>3</v>
      </c>
      <c r="C34" s="1">
        <v>3</v>
      </c>
      <c r="D34" s="4">
        <v>9.2020000000000017</v>
      </c>
      <c r="E34" s="19">
        <v>69000</v>
      </c>
    </row>
    <row r="35" spans="1:5">
      <c r="A35" s="1">
        <v>1</v>
      </c>
      <c r="B35" s="1">
        <v>3</v>
      </c>
      <c r="C35" s="1">
        <v>4</v>
      </c>
      <c r="D35" s="4">
        <v>9.1990000000000016</v>
      </c>
      <c r="E35" s="19">
        <v>69000</v>
      </c>
    </row>
    <row r="36" spans="1:5">
      <c r="A36" s="1">
        <v>1</v>
      </c>
      <c r="B36" s="1">
        <v>4</v>
      </c>
      <c r="C36" s="1">
        <v>-5</v>
      </c>
      <c r="D36" s="4">
        <v>9.2260000000000026</v>
      </c>
      <c r="E36" s="19">
        <v>109000</v>
      </c>
    </row>
    <row r="37" spans="1:5">
      <c r="A37" s="1">
        <v>1</v>
      </c>
      <c r="B37" s="1">
        <v>4</v>
      </c>
      <c r="C37" s="1">
        <v>-4</v>
      </c>
      <c r="D37" s="4">
        <v>9.240000000000002</v>
      </c>
      <c r="E37" s="19">
        <v>109000</v>
      </c>
    </row>
    <row r="38" spans="1:5">
      <c r="A38" s="1">
        <v>1</v>
      </c>
      <c r="B38" s="1">
        <v>4</v>
      </c>
      <c r="C38" s="1">
        <v>-3</v>
      </c>
      <c r="D38" s="4">
        <v>9.2200000000000024</v>
      </c>
      <c r="E38" s="19">
        <v>109000</v>
      </c>
    </row>
    <row r="39" spans="1:5">
      <c r="A39" s="1">
        <v>1</v>
      </c>
      <c r="B39" s="1">
        <v>4</v>
      </c>
      <c r="C39" s="1">
        <v>-2</v>
      </c>
      <c r="D39" s="4">
        <v>9.2270000000000021</v>
      </c>
      <c r="E39" s="19">
        <v>109000</v>
      </c>
    </row>
    <row r="40" spans="1:5">
      <c r="A40" s="1">
        <v>1</v>
      </c>
      <c r="B40" s="1">
        <v>4</v>
      </c>
      <c r="C40" s="1">
        <v>-1</v>
      </c>
      <c r="D40" s="4">
        <v>9.219000000000003</v>
      </c>
      <c r="E40" s="19">
        <v>109000</v>
      </c>
    </row>
    <row r="41" spans="1:5">
      <c r="A41" s="1">
        <v>1</v>
      </c>
      <c r="B41" s="1">
        <v>4</v>
      </c>
      <c r="C41" s="1">
        <v>0</v>
      </c>
      <c r="D41" s="4">
        <v>9.2660000000000018</v>
      </c>
      <c r="E41" s="19">
        <v>109000</v>
      </c>
    </row>
    <row r="42" spans="1:5">
      <c r="A42" s="1">
        <v>1</v>
      </c>
      <c r="B42" s="1">
        <v>4</v>
      </c>
      <c r="C42" s="1">
        <v>1</v>
      </c>
      <c r="D42" s="4">
        <v>9.283000000000003</v>
      </c>
      <c r="E42" s="19">
        <v>109000</v>
      </c>
    </row>
    <row r="43" spans="1:5">
      <c r="A43" s="1">
        <v>1</v>
      </c>
      <c r="B43" s="1">
        <v>4</v>
      </c>
      <c r="C43" s="1">
        <v>2</v>
      </c>
      <c r="D43" s="4">
        <v>9.2850000000000019</v>
      </c>
      <c r="E43" s="19">
        <v>109000</v>
      </c>
    </row>
    <row r="44" spans="1:5">
      <c r="A44" s="1">
        <v>1</v>
      </c>
      <c r="B44" s="1">
        <v>4</v>
      </c>
      <c r="C44" s="1">
        <v>3</v>
      </c>
      <c r="D44" s="4">
        <v>9.2890000000000015</v>
      </c>
      <c r="E44" s="19">
        <v>109000</v>
      </c>
    </row>
    <row r="45" spans="1:5">
      <c r="A45" s="1">
        <v>1</v>
      </c>
      <c r="B45" s="1">
        <v>4</v>
      </c>
      <c r="C45" s="1">
        <v>4</v>
      </c>
      <c r="D45" s="4">
        <v>9.2810000000000024</v>
      </c>
      <c r="E45" s="19">
        <v>109000</v>
      </c>
    </row>
    <row r="46" spans="1:5">
      <c r="A46" s="1">
        <v>2</v>
      </c>
      <c r="B46" s="1">
        <v>1</v>
      </c>
      <c r="C46" s="1">
        <v>-5</v>
      </c>
      <c r="D46" s="4">
        <v>9.1490000000000027</v>
      </c>
      <c r="E46" s="19">
        <v>53000</v>
      </c>
    </row>
    <row r="47" spans="1:5">
      <c r="A47" s="1">
        <v>2</v>
      </c>
      <c r="B47" s="1">
        <v>1</v>
      </c>
      <c r="C47" s="1">
        <v>-4</v>
      </c>
      <c r="D47" s="4">
        <v>9.1620000000000026</v>
      </c>
      <c r="E47" s="19">
        <v>53000</v>
      </c>
    </row>
    <row r="48" spans="1:5">
      <c r="A48" s="1">
        <v>2</v>
      </c>
      <c r="B48" s="1">
        <v>1</v>
      </c>
      <c r="C48" s="1">
        <v>-3</v>
      </c>
      <c r="D48" s="4">
        <v>9.1370000000000022</v>
      </c>
      <c r="E48" s="19">
        <v>53000</v>
      </c>
    </row>
    <row r="49" spans="1:5">
      <c r="A49" s="1">
        <v>2</v>
      </c>
      <c r="B49" s="1">
        <v>1</v>
      </c>
      <c r="C49" s="1">
        <v>-2</v>
      </c>
      <c r="D49" s="4">
        <v>9.142000000000003</v>
      </c>
      <c r="E49" s="19">
        <v>53000</v>
      </c>
    </row>
    <row r="50" spans="1:5">
      <c r="A50" s="1">
        <v>2</v>
      </c>
      <c r="B50" s="1">
        <v>1</v>
      </c>
      <c r="C50" s="1">
        <v>-1</v>
      </c>
      <c r="D50" s="4">
        <v>9.1370000000000022</v>
      </c>
      <c r="E50" s="19">
        <v>53000</v>
      </c>
    </row>
    <row r="51" spans="1:5">
      <c r="A51" s="1">
        <v>2</v>
      </c>
      <c r="B51" s="1">
        <v>1</v>
      </c>
      <c r="C51" s="1">
        <v>0</v>
      </c>
      <c r="D51" s="4">
        <v>9.1130000000000013</v>
      </c>
      <c r="E51" s="19">
        <v>53000</v>
      </c>
    </row>
    <row r="52" spans="1:5">
      <c r="A52" s="1">
        <v>2</v>
      </c>
      <c r="B52" s="1">
        <v>1</v>
      </c>
      <c r="C52" s="1">
        <v>1</v>
      </c>
      <c r="D52" s="4">
        <v>9.1290000000000013</v>
      </c>
      <c r="E52" s="19">
        <v>53000</v>
      </c>
    </row>
    <row r="53" spans="1:5">
      <c r="A53" s="1">
        <v>2</v>
      </c>
      <c r="B53" s="1">
        <v>1</v>
      </c>
      <c r="C53" s="1">
        <v>2</v>
      </c>
      <c r="D53" s="4">
        <v>9.1340000000000021</v>
      </c>
      <c r="E53" s="19">
        <v>53000</v>
      </c>
    </row>
    <row r="54" spans="1:5">
      <c r="A54" s="1">
        <v>2</v>
      </c>
      <c r="B54" s="1">
        <v>1</v>
      </c>
      <c r="C54" s="1">
        <v>3</v>
      </c>
      <c r="D54" s="4">
        <v>9.1290000000000013</v>
      </c>
      <c r="E54" s="19">
        <v>53000</v>
      </c>
    </row>
    <row r="55" spans="1:5">
      <c r="A55" s="1">
        <v>2</v>
      </c>
      <c r="B55" s="1">
        <v>1</v>
      </c>
      <c r="C55" s="1">
        <v>4</v>
      </c>
      <c r="D55" s="4">
        <v>9.1240000000000023</v>
      </c>
      <c r="E55" s="19">
        <v>53000</v>
      </c>
    </row>
    <row r="56" spans="1:5">
      <c r="A56" s="1">
        <v>2</v>
      </c>
      <c r="B56" s="1">
        <v>2</v>
      </c>
      <c r="C56" s="1">
        <v>-5</v>
      </c>
      <c r="D56" s="4">
        <v>9.2000000000000028</v>
      </c>
      <c r="E56" s="19">
        <v>77500</v>
      </c>
    </row>
    <row r="57" spans="1:5">
      <c r="A57" s="1">
        <v>2</v>
      </c>
      <c r="B57" s="1">
        <v>2</v>
      </c>
      <c r="C57" s="1">
        <v>-4</v>
      </c>
      <c r="D57" s="4">
        <v>9.2050000000000018</v>
      </c>
      <c r="E57" s="19">
        <v>77500</v>
      </c>
    </row>
    <row r="58" spans="1:5">
      <c r="A58" s="1">
        <v>2</v>
      </c>
      <c r="B58" s="1">
        <v>2</v>
      </c>
      <c r="C58" s="1">
        <v>-3</v>
      </c>
      <c r="D58" s="4">
        <v>9.1900000000000031</v>
      </c>
      <c r="E58" s="19">
        <v>77500</v>
      </c>
    </row>
    <row r="59" spans="1:5">
      <c r="A59" s="1">
        <v>2</v>
      </c>
      <c r="B59" s="1">
        <v>2</v>
      </c>
      <c r="C59" s="1">
        <v>-2</v>
      </c>
      <c r="D59" s="4">
        <v>9.1910000000000025</v>
      </c>
      <c r="E59" s="19">
        <v>77500</v>
      </c>
    </row>
    <row r="60" spans="1:5">
      <c r="A60" s="1">
        <v>2</v>
      </c>
      <c r="B60" s="1">
        <v>2</v>
      </c>
      <c r="C60" s="1">
        <v>-1</v>
      </c>
      <c r="D60" s="4">
        <v>9.1860000000000017</v>
      </c>
      <c r="E60" s="19">
        <v>77500</v>
      </c>
    </row>
    <row r="61" spans="1:5">
      <c r="A61" s="1">
        <v>2</v>
      </c>
      <c r="B61" s="1">
        <v>2</v>
      </c>
      <c r="C61" s="1">
        <v>0</v>
      </c>
      <c r="D61" s="4">
        <v>9.1730000000000018</v>
      </c>
      <c r="E61" s="19">
        <v>77500</v>
      </c>
    </row>
    <row r="62" spans="1:5">
      <c r="A62" s="1">
        <v>2</v>
      </c>
      <c r="B62" s="1">
        <v>2</v>
      </c>
      <c r="C62" s="1">
        <v>1</v>
      </c>
      <c r="D62" s="4">
        <v>9.1900000000000031</v>
      </c>
      <c r="E62" s="19">
        <v>77500</v>
      </c>
    </row>
    <row r="63" spans="1:5">
      <c r="A63" s="1">
        <v>2</v>
      </c>
      <c r="B63" s="1">
        <v>2</v>
      </c>
      <c r="C63" s="1">
        <v>2</v>
      </c>
      <c r="D63" s="4">
        <v>9.1910000000000025</v>
      </c>
      <c r="E63" s="19">
        <v>77500</v>
      </c>
    </row>
    <row r="64" spans="1:5">
      <c r="A64" s="1">
        <v>2</v>
      </c>
      <c r="B64" s="1">
        <v>2</v>
      </c>
      <c r="C64" s="1">
        <v>3</v>
      </c>
      <c r="D64" s="4">
        <v>9.1920000000000019</v>
      </c>
      <c r="E64" s="19">
        <v>77500</v>
      </c>
    </row>
    <row r="65" spans="1:5">
      <c r="A65" s="1">
        <v>2</v>
      </c>
      <c r="B65" s="1">
        <v>2</v>
      </c>
      <c r="C65" s="1">
        <v>4</v>
      </c>
      <c r="D65" s="4">
        <v>9.1880000000000024</v>
      </c>
      <c r="E65" s="19">
        <v>77500</v>
      </c>
    </row>
    <row r="66" spans="1:5">
      <c r="A66" s="1">
        <v>2</v>
      </c>
      <c r="B66" s="1">
        <v>3</v>
      </c>
      <c r="C66" s="1">
        <v>-5</v>
      </c>
      <c r="D66" s="4">
        <v>9.2360000000000024</v>
      </c>
      <c r="E66" s="19">
        <v>144000</v>
      </c>
    </row>
    <row r="67" spans="1:5">
      <c r="A67" s="1">
        <v>2</v>
      </c>
      <c r="B67" s="1">
        <v>3</v>
      </c>
      <c r="C67" s="1">
        <v>-4</v>
      </c>
      <c r="D67" s="4">
        <v>9.2450000000000028</v>
      </c>
      <c r="E67" s="19">
        <v>144000</v>
      </c>
    </row>
    <row r="68" spans="1:5">
      <c r="A68" s="1">
        <v>2</v>
      </c>
      <c r="B68" s="1">
        <v>3</v>
      </c>
      <c r="C68" s="1">
        <v>-3</v>
      </c>
      <c r="D68" s="4">
        <v>9.2300000000000022</v>
      </c>
      <c r="E68" s="19">
        <v>144000</v>
      </c>
    </row>
    <row r="69" spans="1:5">
      <c r="A69" s="1">
        <v>2</v>
      </c>
      <c r="B69" s="1">
        <v>3</v>
      </c>
      <c r="C69" s="1">
        <v>-2</v>
      </c>
      <c r="D69" s="4">
        <v>9.2340000000000018</v>
      </c>
      <c r="E69" s="19">
        <v>144000</v>
      </c>
    </row>
    <row r="70" spans="1:5">
      <c r="A70" s="1">
        <v>2</v>
      </c>
      <c r="B70" s="1">
        <v>3</v>
      </c>
      <c r="C70" s="1">
        <v>-1</v>
      </c>
      <c r="D70" s="4">
        <v>9.2250000000000014</v>
      </c>
      <c r="E70" s="19">
        <v>144000</v>
      </c>
    </row>
    <row r="71" spans="1:5">
      <c r="A71" s="1">
        <v>2</v>
      </c>
      <c r="B71" s="1">
        <v>3</v>
      </c>
      <c r="C71" s="1">
        <v>0</v>
      </c>
      <c r="D71" s="4">
        <v>9.2280000000000015</v>
      </c>
      <c r="E71" s="19">
        <v>144000</v>
      </c>
    </row>
    <row r="72" spans="1:5">
      <c r="A72" s="1">
        <v>2</v>
      </c>
      <c r="B72" s="1">
        <v>3</v>
      </c>
      <c r="C72" s="1">
        <v>1</v>
      </c>
      <c r="D72" s="4">
        <v>9.2430000000000021</v>
      </c>
      <c r="E72" s="19">
        <v>144000</v>
      </c>
    </row>
    <row r="73" spans="1:5">
      <c r="A73" s="1">
        <v>2</v>
      </c>
      <c r="B73" s="1">
        <v>3</v>
      </c>
      <c r="C73" s="1">
        <v>2</v>
      </c>
      <c r="D73" s="4">
        <v>9.2450000000000028</v>
      </c>
      <c r="E73" s="19">
        <v>144000</v>
      </c>
    </row>
    <row r="74" spans="1:5">
      <c r="A74" s="1">
        <v>2</v>
      </c>
      <c r="B74" s="1">
        <v>3</v>
      </c>
      <c r="C74" s="1">
        <v>3</v>
      </c>
      <c r="D74" s="4">
        <v>9.2490000000000023</v>
      </c>
      <c r="E74" s="19">
        <v>144000</v>
      </c>
    </row>
    <row r="75" spans="1:5">
      <c r="A75" s="1">
        <v>2</v>
      </c>
      <c r="B75" s="1">
        <v>3</v>
      </c>
      <c r="C75" s="1">
        <v>4</v>
      </c>
      <c r="D75" s="4">
        <v>9.2430000000000021</v>
      </c>
      <c r="E75" s="19">
        <v>144000</v>
      </c>
    </row>
    <row r="76" spans="1:5">
      <c r="A76" s="1">
        <v>2</v>
      </c>
      <c r="B76" s="1">
        <v>4</v>
      </c>
      <c r="C76" s="1">
        <v>-5</v>
      </c>
      <c r="D76" s="4">
        <v>9.2920000000000016</v>
      </c>
      <c r="E76" s="19">
        <v>308000</v>
      </c>
    </row>
    <row r="77" spans="1:5">
      <c r="A77" s="1">
        <v>2</v>
      </c>
      <c r="B77" s="1">
        <v>4</v>
      </c>
      <c r="C77" s="1">
        <v>-4</v>
      </c>
      <c r="D77" s="4">
        <v>9.3020000000000014</v>
      </c>
      <c r="E77" s="19">
        <v>308000</v>
      </c>
    </row>
    <row r="78" spans="1:5">
      <c r="A78" s="1">
        <v>2</v>
      </c>
      <c r="B78" s="1">
        <v>4</v>
      </c>
      <c r="C78" s="1">
        <v>-3</v>
      </c>
      <c r="D78" s="4">
        <v>9.2900000000000027</v>
      </c>
      <c r="E78" s="19">
        <v>308000</v>
      </c>
    </row>
    <row r="79" spans="1:5">
      <c r="A79" s="1">
        <v>2</v>
      </c>
      <c r="B79" s="1">
        <v>4</v>
      </c>
      <c r="C79" s="1">
        <v>-2</v>
      </c>
      <c r="D79" s="4">
        <v>9.2930000000000028</v>
      </c>
      <c r="E79" s="19">
        <v>308000</v>
      </c>
    </row>
    <row r="80" spans="1:5">
      <c r="A80" s="1">
        <v>2</v>
      </c>
      <c r="B80" s="1">
        <v>4</v>
      </c>
      <c r="C80" s="1">
        <v>-1</v>
      </c>
      <c r="D80" s="4">
        <v>9.2860000000000014</v>
      </c>
      <c r="E80" s="19">
        <v>308000</v>
      </c>
    </row>
    <row r="81" spans="1:5">
      <c r="A81" s="1">
        <v>2</v>
      </c>
      <c r="B81" s="1">
        <v>4</v>
      </c>
      <c r="C81" s="1">
        <v>0</v>
      </c>
      <c r="D81" s="4">
        <v>9.3190000000000026</v>
      </c>
      <c r="E81" s="19">
        <v>308000</v>
      </c>
    </row>
    <row r="82" spans="1:5">
      <c r="A82" s="1">
        <v>2</v>
      </c>
      <c r="B82" s="1">
        <v>4</v>
      </c>
      <c r="C82" s="1">
        <v>1</v>
      </c>
      <c r="D82" s="4">
        <v>9.3360000000000021</v>
      </c>
      <c r="E82" s="19">
        <v>308000</v>
      </c>
    </row>
    <row r="83" spans="1:5">
      <c r="A83" s="1">
        <v>2</v>
      </c>
      <c r="B83" s="1">
        <v>4</v>
      </c>
      <c r="C83" s="1">
        <v>2</v>
      </c>
      <c r="D83" s="4">
        <v>9.3370000000000015</v>
      </c>
      <c r="E83" s="19">
        <v>308000</v>
      </c>
    </row>
    <row r="84" spans="1:5">
      <c r="A84" s="1">
        <v>2</v>
      </c>
      <c r="B84" s="1">
        <v>4</v>
      </c>
      <c r="C84" s="1">
        <v>3</v>
      </c>
      <c r="D84" s="4">
        <v>9.3450000000000024</v>
      </c>
      <c r="E84" s="19">
        <v>308000</v>
      </c>
    </row>
    <row r="85" spans="1:5">
      <c r="A85" s="1">
        <v>2</v>
      </c>
      <c r="B85" s="1">
        <v>4</v>
      </c>
      <c r="C85" s="1">
        <v>4</v>
      </c>
      <c r="D85" s="4">
        <v>9.3370000000000015</v>
      </c>
      <c r="E85" s="19">
        <v>308000</v>
      </c>
    </row>
    <row r="86" spans="1:5">
      <c r="A86" s="1">
        <v>3</v>
      </c>
      <c r="B86" s="1">
        <v>1</v>
      </c>
      <c r="C86" s="1">
        <v>-5</v>
      </c>
      <c r="D86" s="4">
        <v>9.2160000000000029</v>
      </c>
      <c r="E86" s="19">
        <v>59000</v>
      </c>
    </row>
    <row r="87" spans="1:5">
      <c r="A87" s="1">
        <v>3</v>
      </c>
      <c r="B87" s="1">
        <v>1</v>
      </c>
      <c r="C87" s="1">
        <v>-4</v>
      </c>
      <c r="D87" s="4">
        <v>9.2270000000000021</v>
      </c>
      <c r="E87" s="19">
        <v>59000</v>
      </c>
    </row>
    <row r="88" spans="1:5">
      <c r="A88" s="1">
        <v>3</v>
      </c>
      <c r="B88" s="1">
        <v>1</v>
      </c>
      <c r="C88" s="1">
        <v>-3</v>
      </c>
      <c r="D88" s="4">
        <v>9.2070000000000025</v>
      </c>
      <c r="E88" s="19">
        <v>59000</v>
      </c>
    </row>
    <row r="89" spans="1:5">
      <c r="A89" s="1">
        <v>3</v>
      </c>
      <c r="B89" s="1">
        <v>1</v>
      </c>
      <c r="C89" s="1">
        <v>-2</v>
      </c>
      <c r="D89" s="4">
        <v>9.2130000000000027</v>
      </c>
      <c r="E89" s="19">
        <v>59000</v>
      </c>
    </row>
    <row r="90" spans="1:5">
      <c r="A90" s="1">
        <v>3</v>
      </c>
      <c r="B90" s="1">
        <v>1</v>
      </c>
      <c r="C90" s="1">
        <v>-1</v>
      </c>
      <c r="D90" s="4">
        <v>9.2010000000000023</v>
      </c>
      <c r="E90" s="19">
        <v>59000</v>
      </c>
    </row>
    <row r="91" spans="1:5">
      <c r="A91" s="1">
        <v>3</v>
      </c>
      <c r="B91" s="1">
        <v>1</v>
      </c>
      <c r="C91" s="1">
        <v>0</v>
      </c>
      <c r="D91" s="4">
        <v>9.1720000000000024</v>
      </c>
      <c r="E91" s="19">
        <v>59000</v>
      </c>
    </row>
    <row r="92" spans="1:5">
      <c r="A92" s="1">
        <v>3</v>
      </c>
      <c r="B92" s="1">
        <v>1</v>
      </c>
      <c r="C92" s="1">
        <v>1</v>
      </c>
      <c r="D92" s="4">
        <v>9.1860000000000017</v>
      </c>
      <c r="E92" s="19">
        <v>59000</v>
      </c>
    </row>
    <row r="93" spans="1:5">
      <c r="A93" s="1">
        <v>3</v>
      </c>
      <c r="B93" s="1">
        <v>1</v>
      </c>
      <c r="C93" s="1">
        <v>2</v>
      </c>
      <c r="D93" s="4">
        <v>9.1920000000000019</v>
      </c>
      <c r="E93" s="19">
        <v>59000</v>
      </c>
    </row>
    <row r="94" spans="1:5">
      <c r="A94" s="1">
        <v>3</v>
      </c>
      <c r="B94" s="1">
        <v>1</v>
      </c>
      <c r="C94" s="1">
        <v>3</v>
      </c>
      <c r="D94" s="4">
        <v>9.1900000000000031</v>
      </c>
      <c r="E94" s="19">
        <v>59000</v>
      </c>
    </row>
    <row r="95" spans="1:5">
      <c r="A95" s="1">
        <v>3</v>
      </c>
      <c r="B95" s="1">
        <v>1</v>
      </c>
      <c r="C95" s="1">
        <v>4</v>
      </c>
      <c r="D95" s="4">
        <v>9.1870000000000029</v>
      </c>
      <c r="E95" s="19">
        <v>59000</v>
      </c>
    </row>
    <row r="96" spans="1:5">
      <c r="A96" s="1">
        <v>3</v>
      </c>
      <c r="B96" s="1">
        <v>2</v>
      </c>
      <c r="C96" s="1">
        <v>-5</v>
      </c>
      <c r="D96" s="4">
        <v>9.2500000000000018</v>
      </c>
      <c r="E96" s="19">
        <v>135000</v>
      </c>
    </row>
    <row r="97" spans="1:5">
      <c r="A97" s="1">
        <v>3</v>
      </c>
      <c r="B97" s="1">
        <v>2</v>
      </c>
      <c r="C97" s="1">
        <v>-4</v>
      </c>
      <c r="D97" s="4">
        <v>9.2580000000000027</v>
      </c>
      <c r="E97" s="19">
        <v>135000</v>
      </c>
    </row>
    <row r="98" spans="1:5">
      <c r="A98" s="1">
        <v>3</v>
      </c>
      <c r="B98" s="1">
        <v>2</v>
      </c>
      <c r="C98" s="1">
        <v>-3</v>
      </c>
      <c r="D98" s="4">
        <v>9.2470000000000017</v>
      </c>
      <c r="E98" s="19">
        <v>135000</v>
      </c>
    </row>
    <row r="99" spans="1:5">
      <c r="A99" s="1">
        <v>3</v>
      </c>
      <c r="B99" s="1">
        <v>2</v>
      </c>
      <c r="C99" s="1">
        <v>-2</v>
      </c>
      <c r="D99" s="4">
        <v>9.2490000000000023</v>
      </c>
      <c r="E99" s="19">
        <v>135000</v>
      </c>
    </row>
    <row r="100" spans="1:5">
      <c r="A100" s="1">
        <v>3</v>
      </c>
      <c r="B100" s="1">
        <v>2</v>
      </c>
      <c r="C100" s="1">
        <v>-1</v>
      </c>
      <c r="D100" s="4">
        <v>9.2390000000000025</v>
      </c>
      <c r="E100" s="19">
        <v>135000</v>
      </c>
    </row>
    <row r="101" spans="1:5">
      <c r="A101" s="1">
        <v>3</v>
      </c>
      <c r="B101" s="1">
        <v>2</v>
      </c>
      <c r="C101" s="1">
        <v>0</v>
      </c>
      <c r="D101" s="4">
        <v>9.2220000000000013</v>
      </c>
      <c r="E101" s="19">
        <v>135000</v>
      </c>
    </row>
    <row r="102" spans="1:5">
      <c r="A102" s="1">
        <v>3</v>
      </c>
      <c r="B102" s="1">
        <v>2</v>
      </c>
      <c r="C102" s="1">
        <v>1</v>
      </c>
      <c r="D102" s="4">
        <v>9.2390000000000025</v>
      </c>
      <c r="E102" s="19">
        <v>135000</v>
      </c>
    </row>
    <row r="103" spans="1:5">
      <c r="A103" s="1">
        <v>3</v>
      </c>
      <c r="B103" s="1">
        <v>2</v>
      </c>
      <c r="C103" s="1">
        <v>2</v>
      </c>
      <c r="D103" s="4">
        <v>9.240000000000002</v>
      </c>
      <c r="E103" s="19">
        <v>135000</v>
      </c>
    </row>
    <row r="104" spans="1:5">
      <c r="A104" s="1">
        <v>3</v>
      </c>
      <c r="B104" s="1">
        <v>2</v>
      </c>
      <c r="C104" s="1">
        <v>3</v>
      </c>
      <c r="D104" s="4">
        <v>9.2450000000000028</v>
      </c>
      <c r="E104" s="19">
        <v>135000</v>
      </c>
    </row>
    <row r="105" spans="1:5">
      <c r="A105" s="1">
        <v>3</v>
      </c>
      <c r="B105" s="1">
        <v>2</v>
      </c>
      <c r="C105" s="1">
        <v>4</v>
      </c>
      <c r="D105" s="4">
        <v>9.2370000000000019</v>
      </c>
      <c r="E105" s="19">
        <v>135000</v>
      </c>
    </row>
    <row r="106" spans="1:5">
      <c r="A106" s="1">
        <v>3</v>
      </c>
      <c r="B106" s="1">
        <v>3</v>
      </c>
      <c r="C106" s="1">
        <v>-5</v>
      </c>
      <c r="D106" s="4">
        <v>9.2800000000000029</v>
      </c>
      <c r="E106" s="19">
        <v>270000</v>
      </c>
    </row>
    <row r="107" spans="1:5">
      <c r="A107" s="1">
        <v>3</v>
      </c>
      <c r="B107" s="1">
        <v>3</v>
      </c>
      <c r="C107" s="1">
        <v>-4</v>
      </c>
      <c r="D107" s="4">
        <v>9.2890000000000015</v>
      </c>
      <c r="E107" s="19">
        <v>270000</v>
      </c>
    </row>
    <row r="108" spans="1:5">
      <c r="A108" s="1">
        <v>3</v>
      </c>
      <c r="B108" s="1">
        <v>3</v>
      </c>
      <c r="C108" s="1">
        <v>-3</v>
      </c>
      <c r="D108" s="4">
        <v>9.2770000000000028</v>
      </c>
      <c r="E108" s="19">
        <v>270000</v>
      </c>
    </row>
    <row r="109" spans="1:5">
      <c r="A109" s="1">
        <v>3</v>
      </c>
      <c r="B109" s="1">
        <v>3</v>
      </c>
      <c r="C109" s="1">
        <v>-2</v>
      </c>
      <c r="D109" s="4">
        <v>9.2790000000000017</v>
      </c>
      <c r="E109" s="19">
        <v>270000</v>
      </c>
    </row>
    <row r="110" spans="1:5">
      <c r="A110" s="1">
        <v>3</v>
      </c>
      <c r="B110" s="1">
        <v>3</v>
      </c>
      <c r="C110" s="1">
        <v>-1</v>
      </c>
      <c r="D110" s="4">
        <v>9.2710000000000026</v>
      </c>
      <c r="E110" s="19">
        <v>270000</v>
      </c>
    </row>
    <row r="111" spans="1:5">
      <c r="A111" s="1">
        <v>3</v>
      </c>
      <c r="B111" s="1">
        <v>3</v>
      </c>
      <c r="C111" s="1">
        <v>0</v>
      </c>
      <c r="D111" s="4">
        <v>9.2680000000000025</v>
      </c>
      <c r="E111" s="19">
        <v>270000</v>
      </c>
    </row>
    <row r="112" spans="1:5">
      <c r="A112" s="1">
        <v>3</v>
      </c>
      <c r="B112" s="1">
        <v>3</v>
      </c>
      <c r="C112" s="1">
        <v>1</v>
      </c>
      <c r="D112" s="4">
        <v>9.2850000000000019</v>
      </c>
      <c r="E112" s="19">
        <v>270000</v>
      </c>
    </row>
    <row r="113" spans="1:5">
      <c r="A113" s="1">
        <v>3</v>
      </c>
      <c r="B113" s="1">
        <v>3</v>
      </c>
      <c r="C113" s="1">
        <v>2</v>
      </c>
      <c r="D113" s="4">
        <v>9.2860000000000014</v>
      </c>
      <c r="E113" s="19">
        <v>270000</v>
      </c>
    </row>
    <row r="114" spans="1:5">
      <c r="A114" s="1">
        <v>3</v>
      </c>
      <c r="B114" s="1">
        <v>3</v>
      </c>
      <c r="C114" s="1">
        <v>3</v>
      </c>
      <c r="D114" s="4">
        <v>9.2940000000000023</v>
      </c>
      <c r="E114" s="19">
        <v>270000</v>
      </c>
    </row>
    <row r="115" spans="1:5">
      <c r="A115" s="1">
        <v>3</v>
      </c>
      <c r="B115" s="1">
        <v>3</v>
      </c>
      <c r="C115" s="1">
        <v>4</v>
      </c>
      <c r="D115" s="4">
        <v>9.2870000000000026</v>
      </c>
      <c r="E115" s="19">
        <v>270000</v>
      </c>
    </row>
    <row r="116" spans="1:5">
      <c r="A116" s="1">
        <v>3</v>
      </c>
      <c r="B116" s="1">
        <v>4</v>
      </c>
      <c r="C116" s="1">
        <v>-5</v>
      </c>
      <c r="D116" s="4">
        <v>9.3680000000000021</v>
      </c>
      <c r="E116" s="19">
        <v>762000</v>
      </c>
    </row>
    <row r="117" spans="1:5">
      <c r="A117" s="1">
        <v>3</v>
      </c>
      <c r="B117" s="1">
        <v>4</v>
      </c>
      <c r="C117" s="1">
        <v>-4</v>
      </c>
      <c r="D117" s="4">
        <v>9.3770000000000024</v>
      </c>
      <c r="E117" s="19">
        <v>762000</v>
      </c>
    </row>
    <row r="118" spans="1:5">
      <c r="A118" s="1">
        <v>3</v>
      </c>
      <c r="B118" s="1">
        <v>4</v>
      </c>
      <c r="C118" s="1">
        <v>-3</v>
      </c>
      <c r="D118" s="4">
        <v>9.3680000000000021</v>
      </c>
      <c r="E118" s="19">
        <v>762000</v>
      </c>
    </row>
    <row r="119" spans="1:5">
      <c r="A119" s="1">
        <v>3</v>
      </c>
      <c r="B119" s="1">
        <v>4</v>
      </c>
      <c r="C119" s="1">
        <v>-2</v>
      </c>
      <c r="D119" s="4">
        <v>9.3710000000000022</v>
      </c>
      <c r="E119" s="19">
        <v>762000</v>
      </c>
    </row>
    <row r="120" spans="1:5">
      <c r="A120" s="1">
        <v>3</v>
      </c>
      <c r="B120" s="1">
        <v>4</v>
      </c>
      <c r="C120" s="1">
        <v>-1</v>
      </c>
      <c r="D120" s="4">
        <v>9.3630000000000031</v>
      </c>
      <c r="E120" s="19">
        <v>762000</v>
      </c>
    </row>
    <row r="121" spans="1:5">
      <c r="A121" s="1">
        <v>3</v>
      </c>
      <c r="B121" s="1">
        <v>4</v>
      </c>
      <c r="C121" s="1">
        <v>0</v>
      </c>
      <c r="D121" s="4">
        <v>9.397000000000002</v>
      </c>
      <c r="E121" s="19">
        <v>762000</v>
      </c>
    </row>
    <row r="122" spans="1:5">
      <c r="A122" s="1">
        <v>3</v>
      </c>
      <c r="B122" s="1">
        <v>4</v>
      </c>
      <c r="C122" s="1">
        <v>1</v>
      </c>
      <c r="D122" s="4">
        <v>9.4120000000000026</v>
      </c>
      <c r="E122" s="19">
        <v>762000</v>
      </c>
    </row>
    <row r="123" spans="1:5">
      <c r="A123" s="1">
        <v>3</v>
      </c>
      <c r="B123" s="1">
        <v>4</v>
      </c>
      <c r="C123" s="1">
        <v>2</v>
      </c>
      <c r="D123" s="4">
        <v>9.4140000000000015</v>
      </c>
      <c r="E123" s="19">
        <v>762000</v>
      </c>
    </row>
    <row r="124" spans="1:5">
      <c r="A124" s="1">
        <v>3</v>
      </c>
      <c r="B124" s="1">
        <v>4</v>
      </c>
      <c r="C124" s="1">
        <v>3</v>
      </c>
      <c r="D124" s="4">
        <v>9.4230000000000018</v>
      </c>
      <c r="E124" s="19">
        <v>762000</v>
      </c>
    </row>
    <row r="125" spans="1:5">
      <c r="A125" s="1">
        <v>3</v>
      </c>
      <c r="B125" s="1">
        <v>4</v>
      </c>
      <c r="C125" s="1">
        <v>4</v>
      </c>
      <c r="D125" s="4">
        <v>9.4150000000000027</v>
      </c>
      <c r="E125" s="19">
        <v>762000</v>
      </c>
    </row>
    <row r="126" spans="1:5">
      <c r="A126" s="1">
        <v>4</v>
      </c>
      <c r="B126" s="1">
        <v>1</v>
      </c>
      <c r="C126" s="1">
        <v>-5</v>
      </c>
      <c r="D126" s="4">
        <v>9.3000000000000025</v>
      </c>
      <c r="E126" s="19">
        <v>95000</v>
      </c>
    </row>
    <row r="127" spans="1:5">
      <c r="A127" s="1">
        <v>4</v>
      </c>
      <c r="B127" s="1">
        <v>1</v>
      </c>
      <c r="C127" s="1">
        <v>-4</v>
      </c>
      <c r="D127" s="4">
        <v>9.3120000000000029</v>
      </c>
      <c r="E127" s="19">
        <v>95000</v>
      </c>
    </row>
    <row r="128" spans="1:5">
      <c r="A128" s="1">
        <v>4</v>
      </c>
      <c r="B128" s="1">
        <v>1</v>
      </c>
      <c r="C128" s="1">
        <v>-3</v>
      </c>
      <c r="D128" s="4">
        <v>9.299000000000003</v>
      </c>
      <c r="E128" s="19">
        <v>95000</v>
      </c>
    </row>
    <row r="129" spans="1:5">
      <c r="A129" s="1">
        <v>4</v>
      </c>
      <c r="B129" s="1">
        <v>1</v>
      </c>
      <c r="C129" s="1">
        <v>-2</v>
      </c>
      <c r="D129" s="4">
        <v>9.3010000000000019</v>
      </c>
      <c r="E129" s="19">
        <v>95000</v>
      </c>
    </row>
    <row r="130" spans="1:5">
      <c r="A130" s="1">
        <v>4</v>
      </c>
      <c r="B130" s="1">
        <v>1</v>
      </c>
      <c r="C130" s="1">
        <v>-1</v>
      </c>
      <c r="D130" s="4">
        <v>9.2920000000000016</v>
      </c>
      <c r="E130" s="19">
        <v>95000</v>
      </c>
    </row>
    <row r="131" spans="1:5">
      <c r="A131" s="1">
        <v>4</v>
      </c>
      <c r="B131" s="1">
        <v>1</v>
      </c>
      <c r="C131" s="1">
        <v>0</v>
      </c>
      <c r="D131" s="4">
        <v>9.2360000000000024</v>
      </c>
      <c r="E131" s="19">
        <v>95000</v>
      </c>
    </row>
    <row r="132" spans="1:5">
      <c r="A132" s="1">
        <v>4</v>
      </c>
      <c r="B132" s="1">
        <v>1</v>
      </c>
      <c r="C132" s="1">
        <v>1</v>
      </c>
      <c r="D132" s="4">
        <v>9.2530000000000019</v>
      </c>
      <c r="E132" s="19">
        <v>95000</v>
      </c>
    </row>
    <row r="133" spans="1:5">
      <c r="A133" s="1">
        <v>4</v>
      </c>
      <c r="B133" s="1">
        <v>1</v>
      </c>
      <c r="C133" s="1">
        <v>2</v>
      </c>
      <c r="D133" s="4">
        <v>9.2530000000000019</v>
      </c>
      <c r="E133" s="19">
        <v>95000</v>
      </c>
    </row>
    <row r="134" spans="1:5">
      <c r="A134" s="1">
        <v>4</v>
      </c>
      <c r="B134" s="1">
        <v>1</v>
      </c>
      <c r="C134" s="1">
        <v>3</v>
      </c>
      <c r="D134" s="4">
        <v>9.256000000000002</v>
      </c>
      <c r="E134" s="19">
        <v>95000</v>
      </c>
    </row>
    <row r="135" spans="1:5">
      <c r="A135" s="1">
        <v>4</v>
      </c>
      <c r="B135" s="1">
        <v>1</v>
      </c>
      <c r="C135" s="1">
        <v>4</v>
      </c>
      <c r="D135" s="4">
        <v>9.2500000000000018</v>
      </c>
      <c r="E135" s="19">
        <v>95000</v>
      </c>
    </row>
    <row r="136" spans="1:5">
      <c r="A136" s="1">
        <v>4</v>
      </c>
      <c r="B136" s="1">
        <v>2</v>
      </c>
      <c r="C136" s="1">
        <v>-5</v>
      </c>
      <c r="D136" s="4">
        <v>9.3550000000000022</v>
      </c>
      <c r="E136" s="19">
        <v>285000</v>
      </c>
    </row>
    <row r="137" spans="1:5">
      <c r="A137" s="1">
        <v>4</v>
      </c>
      <c r="B137" s="1">
        <v>2</v>
      </c>
      <c r="C137" s="1">
        <v>-4</v>
      </c>
      <c r="D137" s="4">
        <v>9.3660000000000014</v>
      </c>
      <c r="E137" s="19">
        <v>285000</v>
      </c>
    </row>
    <row r="138" spans="1:5">
      <c r="A138" s="1">
        <v>4</v>
      </c>
      <c r="B138" s="1">
        <v>2</v>
      </c>
      <c r="C138" s="1">
        <v>-3</v>
      </c>
      <c r="D138" s="4">
        <v>9.3550000000000022</v>
      </c>
      <c r="E138" s="19">
        <v>285000</v>
      </c>
    </row>
    <row r="139" spans="1:5">
      <c r="A139" s="1">
        <v>4</v>
      </c>
      <c r="B139" s="1">
        <v>2</v>
      </c>
      <c r="C139" s="1">
        <v>-2</v>
      </c>
      <c r="D139" s="4">
        <v>9.3570000000000029</v>
      </c>
      <c r="E139" s="19">
        <v>285000</v>
      </c>
    </row>
    <row r="140" spans="1:5">
      <c r="A140" s="1">
        <v>4</v>
      </c>
      <c r="B140" s="1">
        <v>2</v>
      </c>
      <c r="C140" s="1">
        <v>-1</v>
      </c>
      <c r="D140" s="4">
        <v>9.3470000000000031</v>
      </c>
      <c r="E140" s="19">
        <v>285000</v>
      </c>
    </row>
    <row r="141" spans="1:5">
      <c r="A141" s="1">
        <v>4</v>
      </c>
      <c r="B141" s="1">
        <v>2</v>
      </c>
      <c r="C141" s="1">
        <v>0</v>
      </c>
      <c r="D141" s="4">
        <v>9.3090000000000028</v>
      </c>
      <c r="E141" s="19">
        <v>285000</v>
      </c>
    </row>
    <row r="142" spans="1:5">
      <c r="A142" s="1">
        <v>4</v>
      </c>
      <c r="B142" s="1">
        <v>2</v>
      </c>
      <c r="C142" s="1">
        <v>1</v>
      </c>
      <c r="D142" s="4">
        <v>9.3230000000000022</v>
      </c>
      <c r="E142" s="19">
        <v>285000</v>
      </c>
    </row>
    <row r="143" spans="1:5">
      <c r="A143" s="1">
        <v>4</v>
      </c>
      <c r="B143" s="1">
        <v>2</v>
      </c>
      <c r="C143" s="1">
        <v>2</v>
      </c>
      <c r="D143" s="4">
        <v>9.3250000000000028</v>
      </c>
      <c r="E143" s="19">
        <v>285000</v>
      </c>
    </row>
    <row r="144" spans="1:5">
      <c r="A144" s="1">
        <v>4</v>
      </c>
      <c r="B144" s="1">
        <v>2</v>
      </c>
      <c r="C144" s="1">
        <v>3</v>
      </c>
      <c r="D144" s="4">
        <v>9.3320000000000025</v>
      </c>
      <c r="E144" s="19">
        <v>285000</v>
      </c>
    </row>
    <row r="145" spans="1:5">
      <c r="A145" s="1">
        <v>4</v>
      </c>
      <c r="B145" s="1">
        <v>2</v>
      </c>
      <c r="C145" s="1">
        <v>4</v>
      </c>
      <c r="D145" s="4">
        <v>9.3250000000000028</v>
      </c>
      <c r="E145" s="19">
        <v>285000</v>
      </c>
    </row>
    <row r="146" spans="1:5">
      <c r="A146" s="1">
        <v>4</v>
      </c>
      <c r="B146" s="1">
        <v>3</v>
      </c>
      <c r="C146" s="1">
        <v>-5</v>
      </c>
      <c r="D146" s="4">
        <v>9.4120000000000026</v>
      </c>
      <c r="E146" s="19">
        <v>755000</v>
      </c>
    </row>
    <row r="147" spans="1:5">
      <c r="A147" s="1">
        <v>4</v>
      </c>
      <c r="B147" s="1">
        <v>3</v>
      </c>
      <c r="C147" s="1">
        <v>-4</v>
      </c>
      <c r="D147" s="4">
        <v>9.4210000000000029</v>
      </c>
      <c r="E147" s="19">
        <v>755000</v>
      </c>
    </row>
    <row r="148" spans="1:5">
      <c r="A148" s="1">
        <v>4</v>
      </c>
      <c r="B148" s="1">
        <v>3</v>
      </c>
      <c r="C148" s="1">
        <v>-3</v>
      </c>
      <c r="D148" s="4">
        <v>9.4110000000000014</v>
      </c>
      <c r="E148" s="19">
        <v>755000</v>
      </c>
    </row>
    <row r="149" spans="1:5">
      <c r="A149" s="1">
        <v>4</v>
      </c>
      <c r="B149" s="1">
        <v>3</v>
      </c>
      <c r="C149" s="1">
        <v>-2</v>
      </c>
      <c r="D149" s="4">
        <v>9.4150000000000027</v>
      </c>
      <c r="E149" s="19">
        <v>755000</v>
      </c>
    </row>
    <row r="150" spans="1:5">
      <c r="A150" s="1">
        <v>4</v>
      </c>
      <c r="B150" s="1">
        <v>3</v>
      </c>
      <c r="C150" s="1">
        <v>-1</v>
      </c>
      <c r="D150" s="4">
        <v>9.4050000000000029</v>
      </c>
      <c r="E150" s="19">
        <v>755000</v>
      </c>
    </row>
    <row r="151" spans="1:5">
      <c r="A151" s="1">
        <v>4</v>
      </c>
      <c r="B151" s="1">
        <v>3</v>
      </c>
      <c r="C151" s="1">
        <v>0</v>
      </c>
      <c r="D151" s="4">
        <v>9.3800000000000026</v>
      </c>
      <c r="E151" s="19">
        <v>755000</v>
      </c>
    </row>
    <row r="152" spans="1:5">
      <c r="A152" s="1">
        <v>4</v>
      </c>
      <c r="B152" s="1">
        <v>3</v>
      </c>
      <c r="C152" s="1">
        <v>1</v>
      </c>
      <c r="D152" s="4">
        <v>9.3950000000000014</v>
      </c>
      <c r="E152" s="19">
        <v>755000</v>
      </c>
    </row>
    <row r="153" spans="1:5">
      <c r="A153" s="1">
        <v>4</v>
      </c>
      <c r="B153" s="1">
        <v>3</v>
      </c>
      <c r="C153" s="1">
        <v>2</v>
      </c>
      <c r="D153" s="4">
        <v>9.397000000000002</v>
      </c>
      <c r="E153" s="19">
        <v>755000</v>
      </c>
    </row>
    <row r="154" spans="1:5">
      <c r="A154" s="1">
        <v>4</v>
      </c>
      <c r="B154" s="1">
        <v>3</v>
      </c>
      <c r="C154" s="1">
        <v>3</v>
      </c>
      <c r="D154" s="4">
        <v>9.4040000000000017</v>
      </c>
      <c r="E154" s="19">
        <v>755000</v>
      </c>
    </row>
    <row r="155" spans="1:5">
      <c r="A155" s="1">
        <v>4</v>
      </c>
      <c r="B155" s="1">
        <v>3</v>
      </c>
      <c r="C155" s="1">
        <v>4</v>
      </c>
      <c r="D155" s="4">
        <v>9.397000000000002</v>
      </c>
      <c r="E155" s="19">
        <v>755000</v>
      </c>
    </row>
    <row r="156" spans="1:5">
      <c r="A156" s="1">
        <v>4</v>
      </c>
      <c r="B156" s="1">
        <v>4</v>
      </c>
      <c r="C156" s="1">
        <v>-5</v>
      </c>
      <c r="D156" s="4">
        <v>9.5790000000000024</v>
      </c>
      <c r="E156" s="19">
        <v>3489000</v>
      </c>
    </row>
    <row r="157" spans="1:5">
      <c r="A157" s="1">
        <v>4</v>
      </c>
      <c r="B157" s="1">
        <v>4</v>
      </c>
      <c r="C157" s="1">
        <v>-4</v>
      </c>
      <c r="D157" s="4">
        <v>9.5900000000000016</v>
      </c>
      <c r="E157" s="19">
        <v>3489000</v>
      </c>
    </row>
    <row r="158" spans="1:5">
      <c r="A158" s="1">
        <v>4</v>
      </c>
      <c r="B158" s="1">
        <v>4</v>
      </c>
      <c r="C158" s="1">
        <v>-3</v>
      </c>
      <c r="D158" s="4">
        <v>9.583000000000002</v>
      </c>
      <c r="E158" s="19">
        <v>3489000</v>
      </c>
    </row>
    <row r="159" spans="1:5">
      <c r="A159" s="1">
        <v>4</v>
      </c>
      <c r="B159" s="1">
        <v>4</v>
      </c>
      <c r="C159" s="1">
        <v>-2</v>
      </c>
      <c r="D159" s="4">
        <v>9.5880000000000027</v>
      </c>
      <c r="E159" s="19">
        <v>3489000</v>
      </c>
    </row>
    <row r="160" spans="1:5">
      <c r="A160" s="1">
        <v>4</v>
      </c>
      <c r="B160" s="1">
        <v>4</v>
      </c>
      <c r="C160" s="1">
        <v>-1</v>
      </c>
      <c r="D160" s="4">
        <v>9.5810000000000031</v>
      </c>
      <c r="E160" s="19">
        <v>3489000</v>
      </c>
    </row>
    <row r="161" spans="1:5">
      <c r="A161" s="1">
        <v>4</v>
      </c>
      <c r="B161" s="1">
        <v>4</v>
      </c>
      <c r="C161" s="1">
        <v>0</v>
      </c>
      <c r="D161" s="4">
        <v>9.6020000000000021</v>
      </c>
      <c r="E161" s="19">
        <v>3489000</v>
      </c>
    </row>
    <row r="162" spans="1:5">
      <c r="A162" s="1">
        <v>4</v>
      </c>
      <c r="B162" s="1">
        <v>4</v>
      </c>
      <c r="C162" s="1">
        <v>1</v>
      </c>
      <c r="D162" s="4">
        <v>9.6170000000000027</v>
      </c>
      <c r="E162" s="19">
        <v>3489000</v>
      </c>
    </row>
    <row r="163" spans="1:5">
      <c r="A163" s="1">
        <v>4</v>
      </c>
      <c r="B163" s="1">
        <v>4</v>
      </c>
      <c r="C163" s="1">
        <v>2</v>
      </c>
      <c r="D163" s="4">
        <v>9.6190000000000015</v>
      </c>
      <c r="E163" s="19">
        <v>3489000</v>
      </c>
    </row>
    <row r="164" spans="1:5">
      <c r="A164" s="1">
        <v>4</v>
      </c>
      <c r="B164" s="1">
        <v>4</v>
      </c>
      <c r="C164" s="1">
        <v>3</v>
      </c>
      <c r="D164" s="4">
        <v>9.6320000000000014</v>
      </c>
      <c r="E164" s="19">
        <v>3489000</v>
      </c>
    </row>
    <row r="165" spans="1:5">
      <c r="A165" s="1">
        <v>4</v>
      </c>
      <c r="B165" s="1">
        <v>4</v>
      </c>
      <c r="C165" s="1">
        <v>4</v>
      </c>
      <c r="D165" s="4">
        <v>9.6200000000000028</v>
      </c>
      <c r="E165" s="19">
        <v>3489000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65"/>
  <sheetViews>
    <sheetView zoomScale="85" zoomScaleNormal="85" workbookViewId="0"/>
  </sheetViews>
  <sheetFormatPr baseColWidth="10" defaultColWidth="8.83203125" defaultRowHeight="15"/>
  <cols>
    <col min="1" max="1" width="12.6640625" customWidth="1"/>
    <col min="2" max="3" width="12.6640625" style="1" customWidth="1"/>
    <col min="4" max="9" width="15.1640625" style="1" customWidth="1"/>
    <col min="10" max="10" width="9.33203125" style="1" bestFit="1" customWidth="1"/>
    <col min="11" max="17" width="8.83203125" style="1"/>
  </cols>
  <sheetData>
    <row r="1" spans="1:10">
      <c r="A1" s="16" t="s">
        <v>197</v>
      </c>
      <c r="B1"/>
      <c r="C1"/>
      <c r="D1"/>
      <c r="E1"/>
      <c r="F1" s="9"/>
    </row>
    <row r="2" spans="1:10">
      <c r="A2" s="9"/>
      <c r="B2"/>
      <c r="C2"/>
      <c r="D2"/>
      <c r="E2"/>
    </row>
    <row r="3" spans="1:10">
      <c r="B3"/>
      <c r="C3"/>
      <c r="D3"/>
      <c r="E3"/>
    </row>
    <row r="4" spans="1:10">
      <c r="B4"/>
      <c r="C4"/>
      <c r="D4" s="59" t="s">
        <v>181</v>
      </c>
      <c r="E4" s="59"/>
      <c r="F4" s="59"/>
      <c r="G4" s="59"/>
      <c r="H4" s="59"/>
      <c r="I4" s="59"/>
    </row>
    <row r="5" spans="1:10" ht="64">
      <c r="A5" s="12" t="s">
        <v>182</v>
      </c>
      <c r="B5" s="12" t="s">
        <v>183</v>
      </c>
      <c r="C5" s="12" t="s">
        <v>184</v>
      </c>
      <c r="D5" s="14" t="s">
        <v>185</v>
      </c>
      <c r="E5" s="14" t="s">
        <v>79</v>
      </c>
      <c r="F5" s="14" t="s">
        <v>198</v>
      </c>
      <c r="G5" s="14" t="s">
        <v>199</v>
      </c>
      <c r="H5" s="14" t="s">
        <v>200</v>
      </c>
      <c r="I5" s="1" t="s">
        <v>203</v>
      </c>
      <c r="J5" s="12" t="s">
        <v>186</v>
      </c>
    </row>
    <row r="6" spans="1:10">
      <c r="A6" s="1">
        <v>1</v>
      </c>
      <c r="B6" s="1">
        <v>1</v>
      </c>
      <c r="C6" s="1">
        <v>-5</v>
      </c>
      <c r="D6" s="4">
        <v>9.1070000000000029</v>
      </c>
      <c r="E6" s="4">
        <v>4.3090000000000023E-4</v>
      </c>
      <c r="F6" s="4">
        <v>1.6720000000000006E-2</v>
      </c>
      <c r="G6" s="4">
        <v>1.6000000000000007E-2</v>
      </c>
      <c r="H6" s="4">
        <v>7.147000000000003E-4</v>
      </c>
      <c r="I6" s="4">
        <v>0.12070000000000004</v>
      </c>
      <c r="J6" s="19">
        <v>44500</v>
      </c>
    </row>
    <row r="7" spans="1:10">
      <c r="A7" s="1">
        <v>1</v>
      </c>
      <c r="B7" s="1">
        <v>1</v>
      </c>
      <c r="C7" s="1">
        <v>-4</v>
      </c>
      <c r="D7" s="4">
        <v>9.126000000000003</v>
      </c>
      <c r="E7" s="4">
        <v>1.9560000000000008E-2</v>
      </c>
      <c r="F7" s="4">
        <v>1.6720000000000006E-2</v>
      </c>
      <c r="G7" s="4">
        <v>1.6000000000000007E-2</v>
      </c>
      <c r="H7" s="4">
        <v>7.147000000000003E-4</v>
      </c>
      <c r="I7" s="4">
        <v>0.12070000000000004</v>
      </c>
      <c r="J7" s="19">
        <v>44500</v>
      </c>
    </row>
    <row r="8" spans="1:10">
      <c r="A8" s="1">
        <v>1</v>
      </c>
      <c r="B8" s="1">
        <v>1</v>
      </c>
      <c r="C8" s="1">
        <v>-3</v>
      </c>
      <c r="D8" s="4">
        <v>9.1000000000000014</v>
      </c>
      <c r="E8" s="4">
        <v>-5.8260000000000022E-3</v>
      </c>
      <c r="F8" s="4">
        <v>1.6720000000000006E-2</v>
      </c>
      <c r="G8" s="4">
        <v>1.6000000000000007E-2</v>
      </c>
      <c r="H8" s="4">
        <v>7.147000000000003E-4</v>
      </c>
      <c r="I8" s="4">
        <v>0.12070000000000004</v>
      </c>
      <c r="J8" s="19">
        <v>44500</v>
      </c>
    </row>
    <row r="9" spans="1:10">
      <c r="A9" s="1">
        <v>1</v>
      </c>
      <c r="B9" s="1">
        <v>1</v>
      </c>
      <c r="C9" s="1">
        <v>-2</v>
      </c>
      <c r="D9" s="4">
        <v>9.1020000000000021</v>
      </c>
      <c r="E9" s="4">
        <v>-4.740000000000002E-3</v>
      </c>
      <c r="F9" s="4">
        <v>1.6720000000000006E-2</v>
      </c>
      <c r="G9" s="4">
        <v>1.6000000000000007E-2</v>
      </c>
      <c r="H9" s="4">
        <v>7.147000000000003E-4</v>
      </c>
      <c r="I9" s="4">
        <v>0.12070000000000004</v>
      </c>
      <c r="J9" s="19">
        <v>44500</v>
      </c>
    </row>
    <row r="10" spans="1:10">
      <c r="A10" s="1">
        <v>1</v>
      </c>
      <c r="B10" s="1">
        <v>1</v>
      </c>
      <c r="C10" s="1">
        <v>-1</v>
      </c>
      <c r="D10" s="4">
        <v>9.1020000000000021</v>
      </c>
      <c r="E10" s="4">
        <v>-4.6080000000000019E-3</v>
      </c>
      <c r="F10" s="4">
        <v>1.6720000000000006E-2</v>
      </c>
      <c r="G10" s="4">
        <v>1.6000000000000007E-2</v>
      </c>
      <c r="H10" s="4">
        <v>7.147000000000003E-4</v>
      </c>
      <c r="I10" s="4">
        <v>0.12070000000000004</v>
      </c>
      <c r="J10" s="19">
        <v>44500</v>
      </c>
    </row>
    <row r="11" spans="1:10">
      <c r="A11" s="1">
        <v>1</v>
      </c>
      <c r="B11" s="1">
        <v>1</v>
      </c>
      <c r="C11" s="1">
        <v>0</v>
      </c>
      <c r="D11" s="4">
        <v>9.0860000000000021</v>
      </c>
      <c r="E11" s="4">
        <v>-1.7420000000000008E-2</v>
      </c>
      <c r="F11" s="4">
        <v>1.4850000000000006E-2</v>
      </c>
      <c r="G11" s="4">
        <v>1.0730000000000005E-2</v>
      </c>
      <c r="H11" s="4">
        <v>4.1210000000000014E-3</v>
      </c>
      <c r="I11" s="4">
        <v>0.11820000000000004</v>
      </c>
      <c r="J11" s="19">
        <v>44500</v>
      </c>
    </row>
    <row r="12" spans="1:10">
      <c r="A12" s="1">
        <v>1</v>
      </c>
      <c r="B12" s="1">
        <v>1</v>
      </c>
      <c r="C12" s="1">
        <v>1</v>
      </c>
      <c r="D12" s="4">
        <v>9.1030000000000015</v>
      </c>
      <c r="E12" s="4">
        <v>-7.3940000000000041E-4</v>
      </c>
      <c r="F12" s="4">
        <v>1.4850000000000006E-2</v>
      </c>
      <c r="G12" s="4">
        <v>1.0730000000000005E-2</v>
      </c>
      <c r="H12" s="4">
        <v>4.1210000000000014E-3</v>
      </c>
      <c r="I12" s="4">
        <v>0.11820000000000004</v>
      </c>
      <c r="J12" s="19">
        <v>44500</v>
      </c>
    </row>
    <row r="13" spans="1:10">
      <c r="A13" s="1">
        <v>1</v>
      </c>
      <c r="B13" s="1">
        <v>1</v>
      </c>
      <c r="C13" s="1">
        <v>2</v>
      </c>
      <c r="D13" s="4">
        <v>9.1070000000000029</v>
      </c>
      <c r="E13" s="4">
        <v>3.6410000000000014E-3</v>
      </c>
      <c r="F13" s="4">
        <v>1.4850000000000006E-2</v>
      </c>
      <c r="G13" s="4">
        <v>1.0730000000000005E-2</v>
      </c>
      <c r="H13" s="4">
        <v>4.1210000000000014E-3</v>
      </c>
      <c r="I13" s="4">
        <v>0.11820000000000004</v>
      </c>
      <c r="J13" s="19">
        <v>44500</v>
      </c>
    </row>
    <row r="14" spans="1:10">
      <c r="A14" s="1">
        <v>1</v>
      </c>
      <c r="B14" s="1">
        <v>1</v>
      </c>
      <c r="C14" s="1">
        <v>3</v>
      </c>
      <c r="D14" s="4">
        <v>9.1040000000000028</v>
      </c>
      <c r="E14" s="4">
        <v>6.4830000000000031E-4</v>
      </c>
      <c r="F14" s="4">
        <v>1.4850000000000006E-2</v>
      </c>
      <c r="G14" s="4">
        <v>1.0730000000000005E-2</v>
      </c>
      <c r="H14" s="4">
        <v>4.1210000000000014E-3</v>
      </c>
      <c r="I14" s="4">
        <v>0.11820000000000004</v>
      </c>
      <c r="J14" s="19">
        <v>44500</v>
      </c>
    </row>
    <row r="15" spans="1:10">
      <c r="A15" s="1">
        <v>1</v>
      </c>
      <c r="B15" s="1">
        <v>1</v>
      </c>
      <c r="C15" s="1">
        <v>4</v>
      </c>
      <c r="D15" s="4">
        <v>9.1000000000000014</v>
      </c>
      <c r="E15" s="4">
        <v>-3.3580000000000012E-3</v>
      </c>
      <c r="F15" s="4">
        <v>1.4850000000000006E-2</v>
      </c>
      <c r="G15" s="4">
        <v>1.0730000000000005E-2</v>
      </c>
      <c r="H15" s="4">
        <v>4.1210000000000014E-3</v>
      </c>
      <c r="I15" s="4">
        <v>0.11820000000000004</v>
      </c>
      <c r="J15" s="19">
        <v>44500</v>
      </c>
    </row>
    <row r="16" spans="1:10">
      <c r="A16" s="1">
        <v>1</v>
      </c>
      <c r="B16" s="1">
        <v>2</v>
      </c>
      <c r="C16" s="1">
        <v>-5</v>
      </c>
      <c r="D16" s="4">
        <v>9.1500000000000021</v>
      </c>
      <c r="E16" s="4">
        <v>5.5490000000000018E-3</v>
      </c>
      <c r="F16" s="4">
        <v>2.3050000000000008E-2</v>
      </c>
      <c r="G16" s="4">
        <v>2.6300000000000011E-2</v>
      </c>
      <c r="H16" s="4">
        <v>-3.2480000000000013E-3</v>
      </c>
      <c r="I16" s="4">
        <v>0.13350000000000004</v>
      </c>
      <c r="J16" s="19">
        <v>55500</v>
      </c>
    </row>
    <row r="17" spans="1:10">
      <c r="A17" s="1">
        <v>1</v>
      </c>
      <c r="B17" s="1">
        <v>2</v>
      </c>
      <c r="C17" s="1">
        <v>-4</v>
      </c>
      <c r="D17" s="4">
        <v>9.163000000000002</v>
      </c>
      <c r="E17" s="4">
        <v>1.8420000000000009E-2</v>
      </c>
      <c r="F17" s="4">
        <v>2.3050000000000008E-2</v>
      </c>
      <c r="G17" s="4">
        <v>2.6300000000000011E-2</v>
      </c>
      <c r="H17" s="4">
        <v>-3.2480000000000013E-3</v>
      </c>
      <c r="I17" s="4">
        <v>0.13350000000000004</v>
      </c>
      <c r="J17" s="19">
        <v>55500</v>
      </c>
    </row>
    <row r="18" spans="1:10">
      <c r="A18" s="1">
        <v>1</v>
      </c>
      <c r="B18" s="1">
        <v>2</v>
      </c>
      <c r="C18" s="1">
        <v>-3</v>
      </c>
      <c r="D18" s="4">
        <v>9.1400000000000023</v>
      </c>
      <c r="E18" s="4">
        <v>-4.831000000000002E-3</v>
      </c>
      <c r="F18" s="4">
        <v>2.3050000000000008E-2</v>
      </c>
      <c r="G18" s="4">
        <v>2.6300000000000011E-2</v>
      </c>
      <c r="H18" s="4">
        <v>-3.2480000000000013E-3</v>
      </c>
      <c r="I18" s="4">
        <v>0.13350000000000004</v>
      </c>
      <c r="J18" s="19">
        <v>55500</v>
      </c>
    </row>
    <row r="19" spans="1:10">
      <c r="A19" s="1">
        <v>1</v>
      </c>
      <c r="B19" s="1">
        <v>2</v>
      </c>
      <c r="C19" s="1">
        <v>-2</v>
      </c>
      <c r="D19" s="4">
        <v>9.1460000000000026</v>
      </c>
      <c r="E19" s="4">
        <v>1.6630000000000006E-3</v>
      </c>
      <c r="F19" s="4">
        <v>2.3050000000000008E-2</v>
      </c>
      <c r="G19" s="4">
        <v>2.6300000000000011E-2</v>
      </c>
      <c r="H19" s="4">
        <v>-3.2480000000000013E-3</v>
      </c>
      <c r="I19" s="4">
        <v>0.13350000000000004</v>
      </c>
      <c r="J19" s="19">
        <v>55500</v>
      </c>
    </row>
    <row r="20" spans="1:10">
      <c r="A20" s="1">
        <v>1</v>
      </c>
      <c r="B20" s="1">
        <v>2</v>
      </c>
      <c r="C20" s="1">
        <v>-1</v>
      </c>
      <c r="D20" s="4">
        <v>9.1410000000000018</v>
      </c>
      <c r="E20" s="4">
        <v>-3.6080000000000014E-3</v>
      </c>
      <c r="F20" s="4">
        <v>2.3050000000000008E-2</v>
      </c>
      <c r="G20" s="4">
        <v>2.6300000000000011E-2</v>
      </c>
      <c r="H20" s="4">
        <v>-3.2480000000000013E-3</v>
      </c>
      <c r="I20" s="4">
        <v>0.13350000000000004</v>
      </c>
      <c r="J20" s="19">
        <v>55500</v>
      </c>
    </row>
    <row r="21" spans="1:10">
      <c r="A21" s="1">
        <v>1</v>
      </c>
      <c r="B21" s="1">
        <v>2</v>
      </c>
      <c r="C21" s="1">
        <v>0</v>
      </c>
      <c r="D21" s="4">
        <v>9.1370000000000022</v>
      </c>
      <c r="E21" s="4">
        <v>-1.909000000000001E-2</v>
      </c>
      <c r="F21" s="4">
        <v>7.8140000000000032E-3</v>
      </c>
      <c r="G21" s="4">
        <v>6.5940000000000026E-3</v>
      </c>
      <c r="H21" s="4">
        <v>1.2200000000000004E-3</v>
      </c>
      <c r="I21" s="4">
        <v>0.14480000000000004</v>
      </c>
      <c r="J21" s="19">
        <v>55500</v>
      </c>
    </row>
    <row r="22" spans="1:10">
      <c r="A22" s="1">
        <v>1</v>
      </c>
      <c r="B22" s="1">
        <v>2</v>
      </c>
      <c r="C22" s="1">
        <v>1</v>
      </c>
      <c r="D22" s="4">
        <v>9.1520000000000028</v>
      </c>
      <c r="E22" s="4">
        <v>-3.8230000000000013E-3</v>
      </c>
      <c r="F22" s="4">
        <v>7.8140000000000032E-3</v>
      </c>
      <c r="G22" s="4">
        <v>6.5940000000000026E-3</v>
      </c>
      <c r="H22" s="4">
        <v>1.2200000000000004E-3</v>
      </c>
      <c r="I22" s="4">
        <v>0.14480000000000004</v>
      </c>
      <c r="J22" s="19">
        <v>55500</v>
      </c>
    </row>
    <row r="23" spans="1:10">
      <c r="A23" s="1">
        <v>1</v>
      </c>
      <c r="B23" s="1">
        <v>2</v>
      </c>
      <c r="C23" s="1">
        <v>2</v>
      </c>
      <c r="D23" s="4">
        <v>9.1560000000000024</v>
      </c>
      <c r="E23" s="4">
        <v>2.4090000000000011E-4</v>
      </c>
      <c r="F23" s="4">
        <v>7.8140000000000032E-3</v>
      </c>
      <c r="G23" s="4">
        <v>6.5940000000000026E-3</v>
      </c>
      <c r="H23" s="4">
        <v>1.2200000000000004E-3</v>
      </c>
      <c r="I23" s="4">
        <v>0.14480000000000004</v>
      </c>
      <c r="J23" s="19">
        <v>55500</v>
      </c>
    </row>
    <row r="24" spans="1:10">
      <c r="A24" s="1">
        <v>1</v>
      </c>
      <c r="B24" s="1">
        <v>2</v>
      </c>
      <c r="C24" s="1">
        <v>3</v>
      </c>
      <c r="D24" s="4">
        <v>9.1530000000000022</v>
      </c>
      <c r="E24" s="4">
        <v>-3.1930000000000014E-3</v>
      </c>
      <c r="F24" s="4">
        <v>7.8140000000000032E-3</v>
      </c>
      <c r="G24" s="4">
        <v>6.5940000000000026E-3</v>
      </c>
      <c r="H24" s="4">
        <v>1.2200000000000004E-3</v>
      </c>
      <c r="I24" s="4">
        <v>0.14480000000000004</v>
      </c>
      <c r="J24" s="19">
        <v>55500</v>
      </c>
    </row>
    <row r="25" spans="1:10">
      <c r="A25" s="1">
        <v>1</v>
      </c>
      <c r="B25" s="1">
        <v>2</v>
      </c>
      <c r="C25" s="1">
        <v>4</v>
      </c>
      <c r="D25" s="4">
        <v>9.1510000000000016</v>
      </c>
      <c r="E25" s="4">
        <v>-4.7910000000000019E-3</v>
      </c>
      <c r="F25" s="4">
        <v>7.8140000000000032E-3</v>
      </c>
      <c r="G25" s="4">
        <v>6.5940000000000026E-3</v>
      </c>
      <c r="H25" s="4">
        <v>1.2200000000000004E-3</v>
      </c>
      <c r="I25" s="4">
        <v>0.14480000000000004</v>
      </c>
      <c r="J25" s="19">
        <v>55500</v>
      </c>
    </row>
    <row r="26" spans="1:10">
      <c r="A26" s="1">
        <v>1</v>
      </c>
      <c r="B26" s="1">
        <v>3</v>
      </c>
      <c r="C26" s="1">
        <v>-5</v>
      </c>
      <c r="D26" s="4">
        <v>9.1940000000000026</v>
      </c>
      <c r="E26" s="4">
        <v>9.2850000000000033E-3</v>
      </c>
      <c r="F26" s="4">
        <v>3.1020000000000013E-2</v>
      </c>
      <c r="G26" s="4">
        <v>2.9590000000000012E-2</v>
      </c>
      <c r="H26" s="4">
        <v>1.4340000000000006E-3</v>
      </c>
      <c r="I26" s="4">
        <v>0.14230000000000004</v>
      </c>
      <c r="J26" s="19">
        <v>78500</v>
      </c>
    </row>
    <row r="27" spans="1:10">
      <c r="A27" s="1">
        <v>1</v>
      </c>
      <c r="B27" s="1">
        <v>3</v>
      </c>
      <c r="C27" s="1">
        <v>-4</v>
      </c>
      <c r="D27" s="4">
        <v>9.2040000000000024</v>
      </c>
      <c r="E27" s="4">
        <v>1.9320000000000007E-2</v>
      </c>
      <c r="F27" s="4">
        <v>3.1020000000000013E-2</v>
      </c>
      <c r="G27" s="4">
        <v>2.9590000000000012E-2</v>
      </c>
      <c r="H27" s="4">
        <v>1.4340000000000006E-3</v>
      </c>
      <c r="I27" s="4">
        <v>0.14230000000000004</v>
      </c>
      <c r="J27" s="19">
        <v>78500</v>
      </c>
    </row>
    <row r="28" spans="1:10">
      <c r="A28" s="1">
        <v>1</v>
      </c>
      <c r="B28" s="1">
        <v>3</v>
      </c>
      <c r="C28" s="1">
        <v>-3</v>
      </c>
      <c r="D28" s="4">
        <v>9.1840000000000028</v>
      </c>
      <c r="E28" s="4">
        <v>-7.7470000000000034E-4</v>
      </c>
      <c r="F28" s="4">
        <v>3.1020000000000013E-2</v>
      </c>
      <c r="G28" s="4">
        <v>2.9590000000000012E-2</v>
      </c>
      <c r="H28" s="4">
        <v>1.4340000000000006E-3</v>
      </c>
      <c r="I28" s="4">
        <v>0.14230000000000004</v>
      </c>
      <c r="J28" s="19">
        <v>78500</v>
      </c>
    </row>
    <row r="29" spans="1:10">
      <c r="A29" s="1">
        <v>1</v>
      </c>
      <c r="B29" s="1">
        <v>3</v>
      </c>
      <c r="C29" s="1">
        <v>-2</v>
      </c>
      <c r="D29" s="4">
        <v>9.1890000000000018</v>
      </c>
      <c r="E29" s="4">
        <v>4.4540000000000014E-3</v>
      </c>
      <c r="F29" s="4">
        <v>3.1020000000000013E-2</v>
      </c>
      <c r="G29" s="4">
        <v>2.9590000000000012E-2</v>
      </c>
      <c r="H29" s="4">
        <v>1.4340000000000006E-3</v>
      </c>
      <c r="I29" s="4">
        <v>0.14230000000000004</v>
      </c>
      <c r="J29" s="19">
        <v>78500</v>
      </c>
    </row>
    <row r="30" spans="1:10">
      <c r="A30" s="1">
        <v>1</v>
      </c>
      <c r="B30" s="1">
        <v>3</v>
      </c>
      <c r="C30" s="1">
        <v>-1</v>
      </c>
      <c r="D30" s="4">
        <v>9.1810000000000027</v>
      </c>
      <c r="E30" s="4">
        <v>-3.3010000000000014E-3</v>
      </c>
      <c r="F30" s="4">
        <v>3.1020000000000013E-2</v>
      </c>
      <c r="G30" s="4">
        <v>2.9590000000000012E-2</v>
      </c>
      <c r="H30" s="4">
        <v>1.4340000000000006E-3</v>
      </c>
      <c r="I30" s="4">
        <v>0.14230000000000004</v>
      </c>
      <c r="J30" s="19">
        <v>78500</v>
      </c>
    </row>
    <row r="31" spans="1:10">
      <c r="A31" s="1">
        <v>1</v>
      </c>
      <c r="B31" s="1">
        <v>3</v>
      </c>
      <c r="C31" s="1">
        <v>0</v>
      </c>
      <c r="D31" s="4">
        <v>9.1920000000000019</v>
      </c>
      <c r="E31" s="4">
        <v>-2.1180000000000008E-2</v>
      </c>
      <c r="F31" s="4">
        <v>4.1630000000000018E-3</v>
      </c>
      <c r="G31" s="4">
        <v>2.4340000000000008E-3</v>
      </c>
      <c r="H31" s="4">
        <v>1.7300000000000006E-3</v>
      </c>
      <c r="I31" s="4">
        <v>0.17090000000000005</v>
      </c>
      <c r="J31" s="19">
        <v>78500</v>
      </c>
    </row>
    <row r="32" spans="1:10">
      <c r="A32" s="1">
        <v>1</v>
      </c>
      <c r="B32" s="1">
        <v>3</v>
      </c>
      <c r="C32" s="1">
        <v>1</v>
      </c>
      <c r="D32" s="4">
        <v>9.208000000000002</v>
      </c>
      <c r="E32" s="4">
        <v>-4.9310000000000022E-3</v>
      </c>
      <c r="F32" s="4">
        <v>4.1630000000000018E-3</v>
      </c>
      <c r="G32" s="4">
        <v>2.4340000000000008E-3</v>
      </c>
      <c r="H32" s="4">
        <v>1.7300000000000006E-3</v>
      </c>
      <c r="I32" s="4">
        <v>0.17090000000000005</v>
      </c>
      <c r="J32" s="19">
        <v>78500</v>
      </c>
    </row>
    <row r="33" spans="1:10">
      <c r="A33" s="1">
        <v>1</v>
      </c>
      <c r="B33" s="1">
        <v>3</v>
      </c>
      <c r="C33" s="1">
        <v>2</v>
      </c>
      <c r="D33" s="4">
        <v>9.2130000000000027</v>
      </c>
      <c r="E33" s="4">
        <v>1.8000000000000009E-4</v>
      </c>
      <c r="F33" s="4">
        <v>4.1630000000000018E-3</v>
      </c>
      <c r="G33" s="4">
        <v>2.4340000000000008E-3</v>
      </c>
      <c r="H33" s="4">
        <v>1.7300000000000006E-3</v>
      </c>
      <c r="I33" s="4">
        <v>0.17090000000000005</v>
      </c>
      <c r="J33" s="19">
        <v>78500</v>
      </c>
    </row>
    <row r="34" spans="1:10">
      <c r="A34" s="1">
        <v>1</v>
      </c>
      <c r="B34" s="1">
        <v>3</v>
      </c>
      <c r="C34" s="1">
        <v>3</v>
      </c>
      <c r="D34" s="4">
        <v>9.2120000000000015</v>
      </c>
      <c r="E34" s="4">
        <v>-1.0810000000000004E-3</v>
      </c>
      <c r="F34" s="4">
        <v>4.1630000000000018E-3</v>
      </c>
      <c r="G34" s="4">
        <v>2.4340000000000008E-3</v>
      </c>
      <c r="H34" s="4">
        <v>1.7300000000000006E-3</v>
      </c>
      <c r="I34" s="4">
        <v>0.17090000000000005</v>
      </c>
      <c r="J34" s="19">
        <v>78500</v>
      </c>
    </row>
    <row r="35" spans="1:10">
      <c r="A35" s="1">
        <v>1</v>
      </c>
      <c r="B35" s="1">
        <v>3</v>
      </c>
      <c r="C35" s="1">
        <v>4</v>
      </c>
      <c r="D35" s="4">
        <v>9.2100000000000026</v>
      </c>
      <c r="E35" s="4">
        <v>-3.2280000000000013E-3</v>
      </c>
      <c r="F35" s="4">
        <v>4.1630000000000018E-3</v>
      </c>
      <c r="G35" s="4">
        <v>2.4340000000000008E-3</v>
      </c>
      <c r="H35" s="4">
        <v>1.7300000000000006E-3</v>
      </c>
      <c r="I35" s="4">
        <v>0.17090000000000005</v>
      </c>
      <c r="J35" s="19">
        <v>78500</v>
      </c>
    </row>
    <row r="36" spans="1:10">
      <c r="A36" s="1">
        <v>1</v>
      </c>
      <c r="B36" s="1">
        <v>4</v>
      </c>
      <c r="C36" s="1">
        <v>-5</v>
      </c>
      <c r="D36" s="4">
        <v>9.2590000000000021</v>
      </c>
      <c r="E36" s="4">
        <v>3.4990000000000012E-3</v>
      </c>
      <c r="F36" s="4">
        <v>4.0670000000000019E-2</v>
      </c>
      <c r="G36" s="4">
        <v>4.0930000000000015E-2</v>
      </c>
      <c r="H36" s="4">
        <v>-2.6650000000000014E-4</v>
      </c>
      <c r="I36" s="4">
        <v>0.15640000000000004</v>
      </c>
      <c r="J36" s="19">
        <v>92500</v>
      </c>
    </row>
    <row r="37" spans="1:10">
      <c r="A37" s="1">
        <v>1</v>
      </c>
      <c r="B37" s="1">
        <v>4</v>
      </c>
      <c r="C37" s="1">
        <v>-4</v>
      </c>
      <c r="D37" s="4">
        <v>9.2740000000000027</v>
      </c>
      <c r="E37" s="4">
        <v>1.8150000000000006E-2</v>
      </c>
      <c r="F37" s="4">
        <v>4.0670000000000019E-2</v>
      </c>
      <c r="G37" s="4">
        <v>4.0930000000000015E-2</v>
      </c>
      <c r="H37" s="4">
        <v>-2.6650000000000014E-4</v>
      </c>
      <c r="I37" s="4">
        <v>0.15640000000000004</v>
      </c>
      <c r="J37" s="19">
        <v>92500</v>
      </c>
    </row>
    <row r="38" spans="1:10">
      <c r="A38" s="1">
        <v>1</v>
      </c>
      <c r="B38" s="1">
        <v>4</v>
      </c>
      <c r="C38" s="1">
        <v>-3</v>
      </c>
      <c r="D38" s="4">
        <v>9.2550000000000026</v>
      </c>
      <c r="E38" s="4">
        <v>-7.1970000000000031E-4</v>
      </c>
      <c r="F38" s="4">
        <v>4.0670000000000019E-2</v>
      </c>
      <c r="G38" s="4">
        <v>4.0930000000000015E-2</v>
      </c>
      <c r="H38" s="4">
        <v>-2.6650000000000014E-4</v>
      </c>
      <c r="I38" s="4">
        <v>0.15640000000000004</v>
      </c>
      <c r="J38" s="19">
        <v>92500</v>
      </c>
    </row>
    <row r="39" spans="1:10">
      <c r="A39" s="1">
        <v>1</v>
      </c>
      <c r="B39" s="1">
        <v>4</v>
      </c>
      <c r="C39" s="1">
        <v>-2</v>
      </c>
      <c r="D39" s="4">
        <v>9.2610000000000028</v>
      </c>
      <c r="E39" s="4">
        <v>5.8040000000000019E-3</v>
      </c>
      <c r="F39" s="4">
        <v>4.0670000000000019E-2</v>
      </c>
      <c r="G39" s="4">
        <v>4.0930000000000015E-2</v>
      </c>
      <c r="H39" s="4">
        <v>-2.6650000000000014E-4</v>
      </c>
      <c r="I39" s="4">
        <v>0.15640000000000004</v>
      </c>
      <c r="J39" s="19">
        <v>92500</v>
      </c>
    </row>
    <row r="40" spans="1:10">
      <c r="A40" s="1">
        <v>1</v>
      </c>
      <c r="B40" s="1">
        <v>4</v>
      </c>
      <c r="C40" s="1">
        <v>-1</v>
      </c>
      <c r="D40" s="4">
        <v>9.2550000000000026</v>
      </c>
      <c r="E40" s="4">
        <v>-1.7330000000000009E-4</v>
      </c>
      <c r="F40" s="4">
        <v>4.0670000000000019E-2</v>
      </c>
      <c r="G40" s="4">
        <v>4.0930000000000015E-2</v>
      </c>
      <c r="H40" s="4">
        <v>-2.6650000000000014E-4</v>
      </c>
      <c r="I40" s="4">
        <v>0.15640000000000004</v>
      </c>
      <c r="J40" s="19">
        <v>92500</v>
      </c>
    </row>
    <row r="41" spans="1:10">
      <c r="A41" s="1">
        <v>1</v>
      </c>
      <c r="B41" s="1">
        <v>4</v>
      </c>
      <c r="C41" s="1">
        <v>0</v>
      </c>
      <c r="D41" s="4">
        <v>9.3050000000000015</v>
      </c>
      <c r="E41" s="4">
        <v>-2.282000000000001E-2</v>
      </c>
      <c r="F41" s="4">
        <v>-2.5640000000000012E-3</v>
      </c>
      <c r="G41" s="4">
        <v>-2.1800000000000009E-3</v>
      </c>
      <c r="H41" s="4">
        <v>-3.8420000000000018E-4</v>
      </c>
      <c r="I41" s="4">
        <v>0.22880000000000009</v>
      </c>
      <c r="J41" s="19">
        <v>92500</v>
      </c>
    </row>
    <row r="42" spans="1:10">
      <c r="A42" s="1">
        <v>1</v>
      </c>
      <c r="B42" s="1">
        <v>4</v>
      </c>
      <c r="C42" s="1">
        <v>1</v>
      </c>
      <c r="D42" s="4">
        <v>9.3240000000000016</v>
      </c>
      <c r="E42" s="4">
        <v>-3.6030000000000012E-3</v>
      </c>
      <c r="F42" s="4">
        <v>-2.5640000000000012E-3</v>
      </c>
      <c r="G42" s="4">
        <v>-2.1800000000000009E-3</v>
      </c>
      <c r="H42" s="4">
        <v>-3.8420000000000018E-4</v>
      </c>
      <c r="I42" s="4">
        <v>0.22880000000000009</v>
      </c>
      <c r="J42" s="19">
        <v>92500</v>
      </c>
    </row>
    <row r="43" spans="1:10">
      <c r="A43" s="1">
        <v>1</v>
      </c>
      <c r="B43" s="1">
        <v>4</v>
      </c>
      <c r="C43" s="1">
        <v>2</v>
      </c>
      <c r="D43" s="4">
        <v>9.3250000000000028</v>
      </c>
      <c r="E43" s="4">
        <v>-3.2380000000000013E-3</v>
      </c>
      <c r="F43" s="4">
        <v>-2.5640000000000012E-3</v>
      </c>
      <c r="G43" s="4">
        <v>-2.1800000000000009E-3</v>
      </c>
      <c r="H43" s="4">
        <v>-3.8420000000000018E-4</v>
      </c>
      <c r="I43" s="4">
        <v>0.22880000000000009</v>
      </c>
      <c r="J43" s="19">
        <v>92500</v>
      </c>
    </row>
    <row r="44" spans="1:10">
      <c r="A44" s="1">
        <v>1</v>
      </c>
      <c r="B44" s="1">
        <v>4</v>
      </c>
      <c r="C44" s="1">
        <v>3</v>
      </c>
      <c r="D44" s="4">
        <v>9.333000000000002</v>
      </c>
      <c r="E44" s="4">
        <v>4.9170000000000021E-3</v>
      </c>
      <c r="F44" s="4">
        <v>-2.5640000000000012E-3</v>
      </c>
      <c r="G44" s="4">
        <v>-2.1800000000000009E-3</v>
      </c>
      <c r="H44" s="4">
        <v>-3.8420000000000018E-4</v>
      </c>
      <c r="I44" s="4">
        <v>0.22880000000000009</v>
      </c>
      <c r="J44" s="19">
        <v>92500</v>
      </c>
    </row>
    <row r="45" spans="1:10">
      <c r="A45" s="1">
        <v>1</v>
      </c>
      <c r="B45" s="1">
        <v>4</v>
      </c>
      <c r="C45" s="1">
        <v>4</v>
      </c>
      <c r="D45" s="4">
        <v>9.3230000000000022</v>
      </c>
      <c r="E45" s="4">
        <v>-4.4960000000000017E-3</v>
      </c>
      <c r="F45" s="4">
        <v>-2.5640000000000012E-3</v>
      </c>
      <c r="G45" s="4">
        <v>-2.1800000000000009E-3</v>
      </c>
      <c r="H45" s="4">
        <v>-3.8420000000000018E-4</v>
      </c>
      <c r="I45" s="4">
        <v>0.22880000000000009</v>
      </c>
      <c r="J45" s="19">
        <v>92500</v>
      </c>
    </row>
    <row r="46" spans="1:10">
      <c r="A46" s="1">
        <v>2</v>
      </c>
      <c r="B46" s="1">
        <v>1</v>
      </c>
      <c r="C46" s="1">
        <v>-5</v>
      </c>
      <c r="D46" s="4">
        <v>9.1650000000000027</v>
      </c>
      <c r="E46" s="4">
        <v>5.439000000000002E-3</v>
      </c>
      <c r="F46" s="4">
        <v>8.1420000000000034E-3</v>
      </c>
      <c r="G46" s="4">
        <v>1.3400000000000006E-2</v>
      </c>
      <c r="H46" s="4">
        <v>-5.2590000000000024E-3</v>
      </c>
      <c r="I46" s="4">
        <v>0.14520000000000005</v>
      </c>
      <c r="J46" s="19">
        <v>52000</v>
      </c>
    </row>
    <row r="47" spans="1:10">
      <c r="A47" s="1">
        <v>2</v>
      </c>
      <c r="B47" s="1">
        <v>1</v>
      </c>
      <c r="C47" s="1">
        <v>-4</v>
      </c>
      <c r="D47" s="4">
        <v>9.1760000000000019</v>
      </c>
      <c r="E47" s="4">
        <v>1.7020000000000007E-2</v>
      </c>
      <c r="F47" s="4">
        <v>8.1420000000000034E-3</v>
      </c>
      <c r="G47" s="4">
        <v>1.3400000000000006E-2</v>
      </c>
      <c r="H47" s="4">
        <v>-5.2590000000000024E-3</v>
      </c>
      <c r="I47" s="4">
        <v>0.14520000000000005</v>
      </c>
      <c r="J47" s="19">
        <v>52000</v>
      </c>
    </row>
    <row r="48" spans="1:10">
      <c r="A48" s="1">
        <v>2</v>
      </c>
      <c r="B48" s="1">
        <v>1</v>
      </c>
      <c r="C48" s="1">
        <v>-3</v>
      </c>
      <c r="D48" s="4">
        <v>9.1530000000000022</v>
      </c>
      <c r="E48" s="4">
        <v>-6.1140000000000022E-3</v>
      </c>
      <c r="F48" s="4">
        <v>8.1420000000000034E-3</v>
      </c>
      <c r="G48" s="4">
        <v>1.3400000000000006E-2</v>
      </c>
      <c r="H48" s="4">
        <v>-5.2590000000000024E-3</v>
      </c>
      <c r="I48" s="4">
        <v>0.14520000000000005</v>
      </c>
      <c r="J48" s="19">
        <v>52000</v>
      </c>
    </row>
    <row r="49" spans="1:10">
      <c r="A49" s="1">
        <v>2</v>
      </c>
      <c r="B49" s="1">
        <v>1</v>
      </c>
      <c r="C49" s="1">
        <v>-2</v>
      </c>
      <c r="D49" s="4">
        <v>9.1600000000000019</v>
      </c>
      <c r="E49" s="4">
        <v>8.8020000000000047E-4</v>
      </c>
      <c r="F49" s="4">
        <v>8.1420000000000034E-3</v>
      </c>
      <c r="G49" s="4">
        <v>1.3400000000000006E-2</v>
      </c>
      <c r="H49" s="4">
        <v>-5.2590000000000024E-3</v>
      </c>
      <c r="I49" s="4">
        <v>0.14520000000000005</v>
      </c>
      <c r="J49" s="19">
        <v>52000</v>
      </c>
    </row>
    <row r="50" spans="1:10">
      <c r="A50" s="1">
        <v>2</v>
      </c>
      <c r="B50" s="1">
        <v>1</v>
      </c>
      <c r="C50" s="1">
        <v>-1</v>
      </c>
      <c r="D50" s="4">
        <v>9.1540000000000017</v>
      </c>
      <c r="E50" s="4">
        <v>-5.4880000000000024E-3</v>
      </c>
      <c r="F50" s="4">
        <v>8.1420000000000034E-3</v>
      </c>
      <c r="G50" s="4">
        <v>1.3400000000000006E-2</v>
      </c>
      <c r="H50" s="4">
        <v>-5.2590000000000024E-3</v>
      </c>
      <c r="I50" s="4">
        <v>0.14520000000000005</v>
      </c>
      <c r="J50" s="19">
        <v>52000</v>
      </c>
    </row>
    <row r="51" spans="1:10">
      <c r="A51" s="1">
        <v>2</v>
      </c>
      <c r="B51" s="1">
        <v>1</v>
      </c>
      <c r="C51" s="1">
        <v>0</v>
      </c>
      <c r="D51" s="4">
        <v>9.1290000000000013</v>
      </c>
      <c r="E51" s="4">
        <v>-1.7580000000000009E-2</v>
      </c>
      <c r="F51" s="4">
        <v>2.282000000000001E-2</v>
      </c>
      <c r="G51" s="4">
        <v>2.0060000000000008E-2</v>
      </c>
      <c r="H51" s="4">
        <v>2.7530000000000011E-3</v>
      </c>
      <c r="I51" s="4">
        <v>0.13300000000000003</v>
      </c>
      <c r="J51" s="19">
        <v>52000</v>
      </c>
    </row>
    <row r="52" spans="1:10">
      <c r="A52" s="1">
        <v>2</v>
      </c>
      <c r="B52" s="1">
        <v>1</v>
      </c>
      <c r="C52" s="1">
        <v>1</v>
      </c>
      <c r="D52" s="4">
        <v>9.1460000000000026</v>
      </c>
      <c r="E52" s="4">
        <v>-6.5180000000000034E-4</v>
      </c>
      <c r="F52" s="4">
        <v>2.282000000000001E-2</v>
      </c>
      <c r="G52" s="4">
        <v>2.0060000000000008E-2</v>
      </c>
      <c r="H52" s="4">
        <v>2.7530000000000011E-3</v>
      </c>
      <c r="I52" s="4">
        <v>0.13300000000000003</v>
      </c>
      <c r="J52" s="19">
        <v>52000</v>
      </c>
    </row>
    <row r="53" spans="1:10">
      <c r="A53" s="1">
        <v>2</v>
      </c>
      <c r="B53" s="1">
        <v>1</v>
      </c>
      <c r="C53" s="1">
        <v>2</v>
      </c>
      <c r="D53" s="4">
        <v>9.1520000000000028</v>
      </c>
      <c r="E53" s="4">
        <v>4.5550000000000018E-3</v>
      </c>
      <c r="F53" s="4">
        <v>2.282000000000001E-2</v>
      </c>
      <c r="G53" s="4">
        <v>2.0060000000000008E-2</v>
      </c>
      <c r="H53" s="4">
        <v>2.7530000000000011E-3</v>
      </c>
      <c r="I53" s="4">
        <v>0.13300000000000003</v>
      </c>
      <c r="J53" s="19">
        <v>52000</v>
      </c>
    </row>
    <row r="54" spans="1:10">
      <c r="A54" s="1">
        <v>2</v>
      </c>
      <c r="B54" s="1">
        <v>1</v>
      </c>
      <c r="C54" s="1">
        <v>3</v>
      </c>
      <c r="D54" s="4">
        <v>9.147000000000002</v>
      </c>
      <c r="E54" s="4">
        <v>-4.9720000000000027E-4</v>
      </c>
      <c r="F54" s="4">
        <v>2.282000000000001E-2</v>
      </c>
      <c r="G54" s="4">
        <v>2.0060000000000008E-2</v>
      </c>
      <c r="H54" s="4">
        <v>2.7530000000000011E-3</v>
      </c>
      <c r="I54" s="4">
        <v>0.13300000000000003</v>
      </c>
      <c r="J54" s="19">
        <v>52000</v>
      </c>
    </row>
    <row r="55" spans="1:10">
      <c r="A55" s="1">
        <v>2</v>
      </c>
      <c r="B55" s="1">
        <v>1</v>
      </c>
      <c r="C55" s="1">
        <v>4</v>
      </c>
      <c r="D55" s="4">
        <v>9.1430000000000025</v>
      </c>
      <c r="E55" s="4">
        <v>-3.6710000000000015E-3</v>
      </c>
      <c r="F55" s="4">
        <v>2.282000000000001E-2</v>
      </c>
      <c r="G55" s="4">
        <v>2.0060000000000008E-2</v>
      </c>
      <c r="H55" s="4">
        <v>2.7530000000000011E-3</v>
      </c>
      <c r="I55" s="4">
        <v>0.13300000000000003</v>
      </c>
      <c r="J55" s="19">
        <v>52000</v>
      </c>
    </row>
    <row r="56" spans="1:10">
      <c r="A56" s="1">
        <v>2</v>
      </c>
      <c r="B56" s="1">
        <v>2</v>
      </c>
      <c r="C56" s="1">
        <v>-5</v>
      </c>
      <c r="D56" s="4">
        <v>9.2170000000000023</v>
      </c>
      <c r="E56" s="4">
        <v>7.5080000000000025E-3</v>
      </c>
      <c r="F56" s="4">
        <v>2.0900000000000009E-2</v>
      </c>
      <c r="G56" s="4">
        <v>2.1110000000000007E-2</v>
      </c>
      <c r="H56" s="4">
        <v>-2.0780000000000009E-4</v>
      </c>
      <c r="I56" s="4">
        <v>0.16530000000000006</v>
      </c>
      <c r="J56" s="19">
        <v>96500</v>
      </c>
    </row>
    <row r="57" spans="1:10">
      <c r="A57" s="1">
        <v>2</v>
      </c>
      <c r="B57" s="1">
        <v>2</v>
      </c>
      <c r="C57" s="1">
        <v>-4</v>
      </c>
      <c r="D57" s="4">
        <v>9.224000000000002</v>
      </c>
      <c r="E57" s="4">
        <v>1.4940000000000007E-2</v>
      </c>
      <c r="F57" s="4">
        <v>2.0900000000000009E-2</v>
      </c>
      <c r="G57" s="4">
        <v>2.1110000000000007E-2</v>
      </c>
      <c r="H57" s="4">
        <v>-2.0780000000000009E-4</v>
      </c>
      <c r="I57" s="4">
        <v>0.16530000000000006</v>
      </c>
      <c r="J57" s="19">
        <v>96500</v>
      </c>
    </row>
    <row r="58" spans="1:10">
      <c r="A58" s="1">
        <v>2</v>
      </c>
      <c r="B58" s="1">
        <v>2</v>
      </c>
      <c r="C58" s="1">
        <v>-3</v>
      </c>
      <c r="D58" s="4">
        <v>9.2100000000000026</v>
      </c>
      <c r="E58" s="4">
        <v>4.9690000000000021E-4</v>
      </c>
      <c r="F58" s="4">
        <v>2.0900000000000009E-2</v>
      </c>
      <c r="G58" s="4">
        <v>2.1110000000000007E-2</v>
      </c>
      <c r="H58" s="4">
        <v>-2.0780000000000009E-4</v>
      </c>
      <c r="I58" s="4">
        <v>0.16530000000000006</v>
      </c>
      <c r="J58" s="19">
        <v>96500</v>
      </c>
    </row>
    <row r="59" spans="1:10">
      <c r="A59" s="1">
        <v>2</v>
      </c>
      <c r="B59" s="1">
        <v>2</v>
      </c>
      <c r="C59" s="1">
        <v>-2</v>
      </c>
      <c r="D59" s="4">
        <v>9.2130000000000027</v>
      </c>
      <c r="E59" s="4">
        <v>3.9400000000000017E-3</v>
      </c>
      <c r="F59" s="4">
        <v>2.0900000000000009E-2</v>
      </c>
      <c r="G59" s="4">
        <v>2.1110000000000007E-2</v>
      </c>
      <c r="H59" s="4">
        <v>-2.0780000000000009E-4</v>
      </c>
      <c r="I59" s="4">
        <v>0.16530000000000006</v>
      </c>
      <c r="J59" s="19">
        <v>96500</v>
      </c>
    </row>
    <row r="60" spans="1:10">
      <c r="A60" s="1">
        <v>2</v>
      </c>
      <c r="B60" s="1">
        <v>2</v>
      </c>
      <c r="C60" s="1">
        <v>-1</v>
      </c>
      <c r="D60" s="4">
        <v>9.203000000000003</v>
      </c>
      <c r="E60" s="4">
        <v>-5.9220000000000019E-3</v>
      </c>
      <c r="F60" s="4">
        <v>2.0900000000000009E-2</v>
      </c>
      <c r="G60" s="4">
        <v>2.1110000000000007E-2</v>
      </c>
      <c r="H60" s="4">
        <v>-2.0780000000000009E-4</v>
      </c>
      <c r="I60" s="4">
        <v>0.16530000000000006</v>
      </c>
      <c r="J60" s="19">
        <v>96500</v>
      </c>
    </row>
    <row r="61" spans="1:10">
      <c r="A61" s="1">
        <v>2</v>
      </c>
      <c r="B61" s="1">
        <v>2</v>
      </c>
      <c r="C61" s="1">
        <v>0</v>
      </c>
      <c r="D61" s="4">
        <v>9.1930000000000014</v>
      </c>
      <c r="E61" s="4">
        <v>-1.6850000000000007E-2</v>
      </c>
      <c r="F61" s="4">
        <v>2.2360000000000008E-2</v>
      </c>
      <c r="G61" s="4">
        <v>1.6930000000000008E-2</v>
      </c>
      <c r="H61" s="4">
        <v>5.4240000000000017E-3</v>
      </c>
      <c r="I61" s="4">
        <v>0.16590000000000005</v>
      </c>
      <c r="J61" s="19">
        <v>96500</v>
      </c>
    </row>
    <row r="62" spans="1:10">
      <c r="A62" s="1">
        <v>2</v>
      </c>
      <c r="B62" s="1">
        <v>2</v>
      </c>
      <c r="C62" s="1">
        <v>1</v>
      </c>
      <c r="D62" s="4">
        <v>9.208000000000002</v>
      </c>
      <c r="E62" s="4">
        <v>-1.9310000000000006E-3</v>
      </c>
      <c r="F62" s="4">
        <v>2.2360000000000008E-2</v>
      </c>
      <c r="G62" s="4">
        <v>1.6930000000000008E-2</v>
      </c>
      <c r="H62" s="4">
        <v>5.4240000000000017E-3</v>
      </c>
      <c r="I62" s="4">
        <v>0.16590000000000005</v>
      </c>
      <c r="J62" s="19">
        <v>96500</v>
      </c>
    </row>
    <row r="63" spans="1:10">
      <c r="A63" s="1">
        <v>2</v>
      </c>
      <c r="B63" s="1">
        <v>2</v>
      </c>
      <c r="C63" s="1">
        <v>2</v>
      </c>
      <c r="D63" s="4">
        <v>9.2110000000000021</v>
      </c>
      <c r="E63" s="4">
        <v>1.0830000000000004E-3</v>
      </c>
      <c r="F63" s="4">
        <v>2.2360000000000008E-2</v>
      </c>
      <c r="G63" s="4">
        <v>1.6930000000000008E-2</v>
      </c>
      <c r="H63" s="4">
        <v>5.4240000000000017E-3</v>
      </c>
      <c r="I63" s="4">
        <v>0.16590000000000005</v>
      </c>
      <c r="J63" s="19">
        <v>96500</v>
      </c>
    </row>
    <row r="64" spans="1:10">
      <c r="A64" s="1">
        <v>2</v>
      </c>
      <c r="B64" s="1">
        <v>2</v>
      </c>
      <c r="C64" s="1">
        <v>3</v>
      </c>
      <c r="D64" s="4">
        <v>9.2130000000000027</v>
      </c>
      <c r="E64" s="4">
        <v>3.4920000000000012E-3</v>
      </c>
      <c r="F64" s="4">
        <v>2.2360000000000008E-2</v>
      </c>
      <c r="G64" s="4">
        <v>1.6930000000000008E-2</v>
      </c>
      <c r="H64" s="4">
        <v>5.4240000000000017E-3</v>
      </c>
      <c r="I64" s="4">
        <v>0.16590000000000005</v>
      </c>
      <c r="J64" s="19">
        <v>96500</v>
      </c>
    </row>
    <row r="65" spans="1:10">
      <c r="A65" s="1">
        <v>2</v>
      </c>
      <c r="B65" s="1">
        <v>2</v>
      </c>
      <c r="C65" s="1">
        <v>4</v>
      </c>
      <c r="D65" s="4">
        <v>9.2070000000000025</v>
      </c>
      <c r="E65" s="4">
        <v>-2.4800000000000009E-3</v>
      </c>
      <c r="F65" s="4">
        <v>2.2360000000000008E-2</v>
      </c>
      <c r="G65" s="4">
        <v>1.6930000000000008E-2</v>
      </c>
      <c r="H65" s="4">
        <v>5.4240000000000017E-3</v>
      </c>
      <c r="I65" s="4">
        <v>0.16590000000000005</v>
      </c>
      <c r="J65" s="19">
        <v>96500</v>
      </c>
    </row>
    <row r="66" spans="1:10">
      <c r="A66" s="1">
        <v>2</v>
      </c>
      <c r="B66" s="1">
        <v>3</v>
      </c>
      <c r="C66" s="1">
        <v>-5</v>
      </c>
      <c r="D66" s="4">
        <v>9.2460000000000022</v>
      </c>
      <c r="E66" s="4">
        <v>4.890000000000002E-3</v>
      </c>
      <c r="F66" s="4">
        <v>2.6350000000000012E-2</v>
      </c>
      <c r="G66" s="4">
        <v>2.607000000000001E-2</v>
      </c>
      <c r="H66" s="4">
        <v>2.7950000000000013E-4</v>
      </c>
      <c r="I66" s="4">
        <v>0.17080000000000006</v>
      </c>
      <c r="J66" s="19">
        <v>187000</v>
      </c>
    </row>
    <row r="67" spans="1:10">
      <c r="A67" s="1">
        <v>2</v>
      </c>
      <c r="B67" s="1">
        <v>3</v>
      </c>
      <c r="C67" s="1">
        <v>-4</v>
      </c>
      <c r="D67" s="4">
        <v>9.256000000000002</v>
      </c>
      <c r="E67" s="4">
        <v>1.5180000000000006E-2</v>
      </c>
      <c r="F67" s="4">
        <v>2.6350000000000012E-2</v>
      </c>
      <c r="G67" s="4">
        <v>2.607000000000001E-2</v>
      </c>
      <c r="H67" s="4">
        <v>2.7950000000000013E-4</v>
      </c>
      <c r="I67" s="4">
        <v>0.17080000000000006</v>
      </c>
      <c r="J67" s="19">
        <v>187000</v>
      </c>
    </row>
    <row r="68" spans="1:10">
      <c r="A68" s="1">
        <v>2</v>
      </c>
      <c r="B68" s="1">
        <v>3</v>
      </c>
      <c r="C68" s="1">
        <v>-3</v>
      </c>
      <c r="D68" s="4">
        <v>9.240000000000002</v>
      </c>
      <c r="E68" s="4">
        <v>-7.0230000000000032E-4</v>
      </c>
      <c r="F68" s="4">
        <v>2.6350000000000012E-2</v>
      </c>
      <c r="G68" s="4">
        <v>2.607000000000001E-2</v>
      </c>
      <c r="H68" s="4">
        <v>2.7950000000000013E-4</v>
      </c>
      <c r="I68" s="4">
        <v>0.17080000000000006</v>
      </c>
      <c r="J68" s="19">
        <v>187000</v>
      </c>
    </row>
    <row r="69" spans="1:10">
      <c r="A69" s="1">
        <v>2</v>
      </c>
      <c r="B69" s="1">
        <v>3</v>
      </c>
      <c r="C69" s="1">
        <v>-2</v>
      </c>
      <c r="D69" s="4">
        <v>9.2460000000000022</v>
      </c>
      <c r="E69" s="4">
        <v>5.6230000000000021E-3</v>
      </c>
      <c r="F69" s="4">
        <v>2.6350000000000012E-2</v>
      </c>
      <c r="G69" s="4">
        <v>2.607000000000001E-2</v>
      </c>
      <c r="H69" s="4">
        <v>2.7950000000000013E-4</v>
      </c>
      <c r="I69" s="4">
        <v>0.17080000000000006</v>
      </c>
      <c r="J69" s="19">
        <v>187000</v>
      </c>
    </row>
    <row r="70" spans="1:10">
      <c r="A70" s="1">
        <v>2</v>
      </c>
      <c r="B70" s="1">
        <v>3</v>
      </c>
      <c r="C70" s="1">
        <v>-1</v>
      </c>
      <c r="D70" s="4">
        <v>9.2370000000000019</v>
      </c>
      <c r="E70" s="4">
        <v>-4.2050000000000013E-3</v>
      </c>
      <c r="F70" s="4">
        <v>2.6350000000000012E-2</v>
      </c>
      <c r="G70" s="4">
        <v>2.607000000000001E-2</v>
      </c>
      <c r="H70" s="4">
        <v>2.7950000000000013E-4</v>
      </c>
      <c r="I70" s="4">
        <v>0.17080000000000006</v>
      </c>
      <c r="J70" s="19">
        <v>187000</v>
      </c>
    </row>
    <row r="71" spans="1:10">
      <c r="A71" s="1">
        <v>2</v>
      </c>
      <c r="B71" s="1">
        <v>3</v>
      </c>
      <c r="C71" s="1">
        <v>0</v>
      </c>
      <c r="D71" s="4">
        <v>9.2410000000000014</v>
      </c>
      <c r="E71" s="4">
        <v>-1.7880000000000007E-2</v>
      </c>
      <c r="F71" s="4">
        <v>1.7230000000000006E-2</v>
      </c>
      <c r="G71" s="4">
        <v>1.2100000000000005E-2</v>
      </c>
      <c r="H71" s="4">
        <v>5.1360000000000017E-3</v>
      </c>
      <c r="I71" s="4">
        <v>0.18910000000000007</v>
      </c>
      <c r="J71" s="19">
        <v>187000</v>
      </c>
    </row>
    <row r="72" spans="1:10">
      <c r="A72" s="1">
        <v>2</v>
      </c>
      <c r="B72" s="1">
        <v>3</v>
      </c>
      <c r="C72" s="1">
        <v>1</v>
      </c>
      <c r="D72" s="4">
        <v>9.2570000000000014</v>
      </c>
      <c r="E72" s="4">
        <v>-2.3780000000000008E-3</v>
      </c>
      <c r="F72" s="4">
        <v>1.7230000000000006E-2</v>
      </c>
      <c r="G72" s="4">
        <v>1.2100000000000005E-2</v>
      </c>
      <c r="H72" s="4">
        <v>5.1360000000000017E-3</v>
      </c>
      <c r="I72" s="4">
        <v>0.18910000000000007</v>
      </c>
      <c r="J72" s="19">
        <v>187000</v>
      </c>
    </row>
    <row r="73" spans="1:10">
      <c r="A73" s="1">
        <v>2</v>
      </c>
      <c r="B73" s="1">
        <v>3</v>
      </c>
      <c r="C73" s="1">
        <v>2</v>
      </c>
      <c r="D73" s="4">
        <v>9.2590000000000021</v>
      </c>
      <c r="E73" s="4">
        <v>-2.9050000000000012E-4</v>
      </c>
      <c r="F73" s="4">
        <v>1.7230000000000006E-2</v>
      </c>
      <c r="G73" s="4">
        <v>1.2100000000000005E-2</v>
      </c>
      <c r="H73" s="4">
        <v>5.1360000000000017E-3</v>
      </c>
      <c r="I73" s="4">
        <v>0.18910000000000007</v>
      </c>
      <c r="J73" s="19">
        <v>187000</v>
      </c>
    </row>
    <row r="74" spans="1:10">
      <c r="A74" s="1">
        <v>2</v>
      </c>
      <c r="B74" s="1">
        <v>3</v>
      </c>
      <c r="C74" s="1">
        <v>3</v>
      </c>
      <c r="D74" s="4">
        <v>9.2620000000000022</v>
      </c>
      <c r="E74" s="4">
        <v>3.2510000000000013E-3</v>
      </c>
      <c r="F74" s="4">
        <v>1.7230000000000006E-2</v>
      </c>
      <c r="G74" s="4">
        <v>1.2100000000000005E-2</v>
      </c>
      <c r="H74" s="4">
        <v>5.1360000000000017E-3</v>
      </c>
      <c r="I74" s="4">
        <v>0.18910000000000007</v>
      </c>
      <c r="J74" s="19">
        <v>187000</v>
      </c>
    </row>
    <row r="75" spans="1:10">
      <c r="A75" s="1">
        <v>2</v>
      </c>
      <c r="B75" s="1">
        <v>3</v>
      </c>
      <c r="C75" s="1">
        <v>4</v>
      </c>
      <c r="D75" s="4">
        <v>9.2570000000000014</v>
      </c>
      <c r="E75" s="4">
        <v>-2.1090000000000006E-3</v>
      </c>
      <c r="F75" s="4">
        <v>1.7230000000000006E-2</v>
      </c>
      <c r="G75" s="4">
        <v>1.2100000000000005E-2</v>
      </c>
      <c r="H75" s="4">
        <v>5.1360000000000017E-3</v>
      </c>
      <c r="I75" s="4">
        <v>0.18910000000000007</v>
      </c>
      <c r="J75" s="19">
        <v>187000</v>
      </c>
    </row>
    <row r="76" spans="1:10">
      <c r="A76" s="1">
        <v>2</v>
      </c>
      <c r="B76" s="1">
        <v>4</v>
      </c>
      <c r="C76" s="1">
        <v>-5</v>
      </c>
      <c r="D76" s="4">
        <v>9.3100000000000023</v>
      </c>
      <c r="E76" s="4">
        <v>3.7130000000000015E-3</v>
      </c>
      <c r="F76" s="4">
        <v>3.8980000000000015E-2</v>
      </c>
      <c r="G76" s="4">
        <v>3.8250000000000013E-2</v>
      </c>
      <c r="H76" s="4">
        <v>7.216000000000003E-4</v>
      </c>
      <c r="I76" s="4">
        <v>0.18720000000000006</v>
      </c>
      <c r="J76" s="19">
        <v>269000</v>
      </c>
    </row>
    <row r="77" spans="1:10">
      <c r="A77" s="1">
        <v>2</v>
      </c>
      <c r="B77" s="1">
        <v>4</v>
      </c>
      <c r="C77" s="1">
        <v>-4</v>
      </c>
      <c r="D77" s="4">
        <v>9.3220000000000027</v>
      </c>
      <c r="E77" s="4">
        <v>1.5960000000000005E-2</v>
      </c>
      <c r="F77" s="4">
        <v>3.8980000000000015E-2</v>
      </c>
      <c r="G77" s="4">
        <v>3.8250000000000013E-2</v>
      </c>
      <c r="H77" s="4">
        <v>7.216000000000003E-4</v>
      </c>
      <c r="I77" s="4">
        <v>0.18720000000000006</v>
      </c>
      <c r="J77" s="19">
        <v>269000</v>
      </c>
    </row>
    <row r="78" spans="1:10">
      <c r="A78" s="1">
        <v>2</v>
      </c>
      <c r="B78" s="1">
        <v>4</v>
      </c>
      <c r="C78" s="1">
        <v>-3</v>
      </c>
      <c r="D78" s="4">
        <v>9.3070000000000022</v>
      </c>
      <c r="E78" s="4">
        <v>1.4760000000000005E-3</v>
      </c>
      <c r="F78" s="4">
        <v>3.8980000000000015E-2</v>
      </c>
      <c r="G78" s="4">
        <v>3.8250000000000013E-2</v>
      </c>
      <c r="H78" s="4">
        <v>7.216000000000003E-4</v>
      </c>
      <c r="I78" s="4">
        <v>0.18720000000000006</v>
      </c>
      <c r="J78" s="19">
        <v>269000</v>
      </c>
    </row>
    <row r="79" spans="1:10">
      <c r="A79" s="1">
        <v>2</v>
      </c>
      <c r="B79" s="1">
        <v>4</v>
      </c>
      <c r="C79" s="1">
        <v>-2</v>
      </c>
      <c r="D79" s="4">
        <v>9.3130000000000024</v>
      </c>
      <c r="E79" s="4">
        <v>7.5890000000000029E-3</v>
      </c>
      <c r="F79" s="4">
        <v>3.8980000000000015E-2</v>
      </c>
      <c r="G79" s="4">
        <v>3.8250000000000013E-2</v>
      </c>
      <c r="H79" s="4">
        <v>7.216000000000003E-4</v>
      </c>
      <c r="I79" s="4">
        <v>0.18720000000000006</v>
      </c>
      <c r="J79" s="19">
        <v>269000</v>
      </c>
    </row>
    <row r="80" spans="1:10">
      <c r="A80" s="1">
        <v>2</v>
      </c>
      <c r="B80" s="1">
        <v>4</v>
      </c>
      <c r="C80" s="1">
        <v>-1</v>
      </c>
      <c r="D80" s="4">
        <v>9.304000000000002</v>
      </c>
      <c r="E80" s="4">
        <v>-2.1310000000000009E-3</v>
      </c>
      <c r="F80" s="4">
        <v>3.8980000000000015E-2</v>
      </c>
      <c r="G80" s="4">
        <v>3.8250000000000013E-2</v>
      </c>
      <c r="H80" s="4">
        <v>7.216000000000003E-4</v>
      </c>
      <c r="I80" s="4">
        <v>0.18720000000000006</v>
      </c>
      <c r="J80" s="19">
        <v>269000</v>
      </c>
    </row>
    <row r="81" spans="1:10">
      <c r="A81" s="1">
        <v>2</v>
      </c>
      <c r="B81" s="1">
        <v>4</v>
      </c>
      <c r="C81" s="1">
        <v>0</v>
      </c>
      <c r="D81" s="4">
        <v>9.3450000000000024</v>
      </c>
      <c r="E81" s="4">
        <v>-1.7730000000000006E-2</v>
      </c>
      <c r="F81" s="4">
        <v>1.2450000000000004E-2</v>
      </c>
      <c r="G81" s="4">
        <v>1.0210000000000004E-2</v>
      </c>
      <c r="H81" s="4">
        <v>2.2420000000000009E-3</v>
      </c>
      <c r="I81" s="4">
        <v>0.24420000000000008</v>
      </c>
      <c r="J81" s="19">
        <v>269000</v>
      </c>
    </row>
    <row r="82" spans="1:10">
      <c r="A82" s="1">
        <v>2</v>
      </c>
      <c r="B82" s="1">
        <v>4</v>
      </c>
      <c r="C82" s="1">
        <v>1</v>
      </c>
      <c r="D82" s="4">
        <v>9.3610000000000024</v>
      </c>
      <c r="E82" s="4">
        <v>-2.2440000000000008E-3</v>
      </c>
      <c r="F82" s="4">
        <v>1.2450000000000004E-2</v>
      </c>
      <c r="G82" s="4">
        <v>1.0210000000000004E-2</v>
      </c>
      <c r="H82" s="4">
        <v>2.2420000000000009E-3</v>
      </c>
      <c r="I82" s="4">
        <v>0.24420000000000008</v>
      </c>
      <c r="J82" s="19">
        <v>269000</v>
      </c>
    </row>
    <row r="83" spans="1:10">
      <c r="A83" s="1">
        <v>2</v>
      </c>
      <c r="B83" s="1">
        <v>4</v>
      </c>
      <c r="C83" s="1">
        <v>2</v>
      </c>
      <c r="D83" s="4">
        <v>9.3620000000000019</v>
      </c>
      <c r="E83" s="4">
        <v>-8.7880000000000044E-4</v>
      </c>
      <c r="F83" s="4">
        <v>1.2450000000000004E-2</v>
      </c>
      <c r="G83" s="4">
        <v>1.0210000000000004E-2</v>
      </c>
      <c r="H83" s="4">
        <v>2.2420000000000009E-3</v>
      </c>
      <c r="I83" s="4">
        <v>0.24420000000000008</v>
      </c>
      <c r="J83" s="19">
        <v>269000</v>
      </c>
    </row>
    <row r="84" spans="1:10">
      <c r="A84" s="1">
        <v>2</v>
      </c>
      <c r="B84" s="1">
        <v>4</v>
      </c>
      <c r="C84" s="1">
        <v>3</v>
      </c>
      <c r="D84" s="4">
        <v>9.3700000000000028</v>
      </c>
      <c r="E84" s="4">
        <v>7.159000000000003E-3</v>
      </c>
      <c r="F84" s="4">
        <v>1.2450000000000004E-2</v>
      </c>
      <c r="G84" s="4">
        <v>1.0210000000000004E-2</v>
      </c>
      <c r="H84" s="4">
        <v>2.2420000000000009E-3</v>
      </c>
      <c r="I84" s="4">
        <v>0.24420000000000008</v>
      </c>
      <c r="J84" s="19">
        <v>269000</v>
      </c>
    </row>
    <row r="85" spans="1:10">
      <c r="A85" s="1">
        <v>2</v>
      </c>
      <c r="B85" s="1">
        <v>4</v>
      </c>
      <c r="C85" s="1">
        <v>4</v>
      </c>
      <c r="D85" s="4">
        <v>9.3610000000000024</v>
      </c>
      <c r="E85" s="4">
        <v>-1.7500000000000007E-3</v>
      </c>
      <c r="F85" s="4">
        <v>1.2450000000000004E-2</v>
      </c>
      <c r="G85" s="4">
        <v>1.0210000000000004E-2</v>
      </c>
      <c r="H85" s="4">
        <v>2.2420000000000009E-3</v>
      </c>
      <c r="I85" s="4">
        <v>0.24420000000000008</v>
      </c>
      <c r="J85" s="19">
        <v>269000</v>
      </c>
    </row>
    <row r="86" spans="1:10">
      <c r="A86" s="1">
        <v>3</v>
      </c>
      <c r="B86" s="1">
        <v>1</v>
      </c>
      <c r="C86" s="1">
        <v>-5</v>
      </c>
      <c r="D86" s="4">
        <v>9.2220000000000013</v>
      </c>
      <c r="E86" s="4">
        <v>4.1370000000000018E-3</v>
      </c>
      <c r="F86" s="4">
        <v>-4.7260000000000019E-3</v>
      </c>
      <c r="G86" s="4">
        <v>6.3260000000000031E-4</v>
      </c>
      <c r="H86" s="4">
        <v>-5.3590000000000018E-3</v>
      </c>
      <c r="I86" s="4">
        <v>0.16300000000000006</v>
      </c>
      <c r="J86" s="19">
        <v>72000</v>
      </c>
    </row>
    <row r="87" spans="1:10">
      <c r="A87" s="1">
        <v>3</v>
      </c>
      <c r="B87" s="1">
        <v>1</v>
      </c>
      <c r="C87" s="1">
        <v>-4</v>
      </c>
      <c r="D87" s="4">
        <v>9.2310000000000016</v>
      </c>
      <c r="E87" s="4">
        <v>1.2920000000000006E-2</v>
      </c>
      <c r="F87" s="4">
        <v>-4.7260000000000019E-3</v>
      </c>
      <c r="G87" s="4">
        <v>6.3260000000000031E-4</v>
      </c>
      <c r="H87" s="4">
        <v>-5.3590000000000018E-3</v>
      </c>
      <c r="I87" s="4">
        <v>0.16300000000000006</v>
      </c>
      <c r="J87" s="19">
        <v>72000</v>
      </c>
    </row>
    <row r="88" spans="1:10">
      <c r="A88" s="1">
        <v>3</v>
      </c>
      <c r="B88" s="1">
        <v>1</v>
      </c>
      <c r="C88" s="1">
        <v>-3</v>
      </c>
      <c r="D88" s="4">
        <v>9.2130000000000027</v>
      </c>
      <c r="E88" s="4">
        <v>-4.4360000000000016E-3</v>
      </c>
      <c r="F88" s="4">
        <v>-4.7260000000000019E-3</v>
      </c>
      <c r="G88" s="4">
        <v>6.3260000000000031E-4</v>
      </c>
      <c r="H88" s="4">
        <v>-5.3590000000000018E-3</v>
      </c>
      <c r="I88" s="4">
        <v>0.16300000000000006</v>
      </c>
      <c r="J88" s="19">
        <v>72000</v>
      </c>
    </row>
    <row r="89" spans="1:10">
      <c r="A89" s="1">
        <v>3</v>
      </c>
      <c r="B89" s="1">
        <v>1</v>
      </c>
      <c r="C89" s="1">
        <v>-2</v>
      </c>
      <c r="D89" s="4">
        <v>9.219000000000003</v>
      </c>
      <c r="E89" s="4">
        <v>1.0740000000000003E-3</v>
      </c>
      <c r="F89" s="4">
        <v>-4.7260000000000019E-3</v>
      </c>
      <c r="G89" s="4">
        <v>6.3260000000000031E-4</v>
      </c>
      <c r="H89" s="4">
        <v>-5.3590000000000018E-3</v>
      </c>
      <c r="I89" s="4">
        <v>0.16300000000000006</v>
      </c>
      <c r="J89" s="19">
        <v>72000</v>
      </c>
    </row>
    <row r="90" spans="1:10">
      <c r="A90" s="1">
        <v>3</v>
      </c>
      <c r="B90" s="1">
        <v>1</v>
      </c>
      <c r="C90" s="1">
        <v>-1</v>
      </c>
      <c r="D90" s="4">
        <v>9.2090000000000014</v>
      </c>
      <c r="E90" s="4">
        <v>-8.4230000000000034E-3</v>
      </c>
      <c r="F90" s="4">
        <v>-4.7260000000000019E-3</v>
      </c>
      <c r="G90" s="4">
        <v>6.3260000000000031E-4</v>
      </c>
      <c r="H90" s="4">
        <v>-5.3590000000000018E-3</v>
      </c>
      <c r="I90" s="4">
        <v>0.16300000000000006</v>
      </c>
      <c r="J90" s="19">
        <v>72000</v>
      </c>
    </row>
    <row r="91" spans="1:10">
      <c r="A91" s="1">
        <v>3</v>
      </c>
      <c r="B91" s="1">
        <v>1</v>
      </c>
      <c r="C91" s="1">
        <v>0</v>
      </c>
      <c r="D91" s="4">
        <v>9.1820000000000022</v>
      </c>
      <c r="E91" s="4">
        <v>-1.6480000000000009E-2</v>
      </c>
      <c r="F91" s="4">
        <v>3.1520000000000013E-2</v>
      </c>
      <c r="G91" s="4">
        <v>2.6800000000000011E-2</v>
      </c>
      <c r="H91" s="4">
        <v>4.720000000000002E-3</v>
      </c>
      <c r="I91" s="4">
        <v>0.14330000000000004</v>
      </c>
      <c r="J91" s="19">
        <v>72000</v>
      </c>
    </row>
    <row r="92" spans="1:10">
      <c r="A92" s="1">
        <v>3</v>
      </c>
      <c r="B92" s="1">
        <v>1</v>
      </c>
      <c r="C92" s="1">
        <v>1</v>
      </c>
      <c r="D92" s="4">
        <v>9.1960000000000015</v>
      </c>
      <c r="E92" s="4">
        <v>-1.7740000000000006E-3</v>
      </c>
      <c r="F92" s="4">
        <v>3.1520000000000013E-2</v>
      </c>
      <c r="G92" s="4">
        <v>2.6800000000000011E-2</v>
      </c>
      <c r="H92" s="4">
        <v>4.720000000000002E-3</v>
      </c>
      <c r="I92" s="4">
        <v>0.14330000000000004</v>
      </c>
      <c r="J92" s="19">
        <v>72000</v>
      </c>
    </row>
    <row r="93" spans="1:10">
      <c r="A93" s="1">
        <v>3</v>
      </c>
      <c r="B93" s="1">
        <v>1</v>
      </c>
      <c r="C93" s="1">
        <v>2</v>
      </c>
      <c r="D93" s="4">
        <v>9.2020000000000017</v>
      </c>
      <c r="E93" s="4">
        <v>4.0420000000000013E-3</v>
      </c>
      <c r="F93" s="4">
        <v>3.1520000000000013E-2</v>
      </c>
      <c r="G93" s="4">
        <v>2.6800000000000011E-2</v>
      </c>
      <c r="H93" s="4">
        <v>4.720000000000002E-3</v>
      </c>
      <c r="I93" s="4">
        <v>0.14330000000000004</v>
      </c>
      <c r="J93" s="19">
        <v>72000</v>
      </c>
    </row>
    <row r="94" spans="1:10">
      <c r="A94" s="1">
        <v>3</v>
      </c>
      <c r="B94" s="1">
        <v>1</v>
      </c>
      <c r="C94" s="1">
        <v>3</v>
      </c>
      <c r="D94" s="4">
        <v>9.2000000000000028</v>
      </c>
      <c r="E94" s="4">
        <v>1.3720000000000006E-3</v>
      </c>
      <c r="F94" s="4">
        <v>3.1520000000000013E-2</v>
      </c>
      <c r="G94" s="4">
        <v>2.6800000000000011E-2</v>
      </c>
      <c r="H94" s="4">
        <v>4.720000000000002E-3</v>
      </c>
      <c r="I94" s="4">
        <v>0.14330000000000004</v>
      </c>
      <c r="J94" s="19">
        <v>72000</v>
      </c>
    </row>
    <row r="95" spans="1:10">
      <c r="A95" s="1">
        <v>3</v>
      </c>
      <c r="B95" s="1">
        <v>1</v>
      </c>
      <c r="C95" s="1">
        <v>4</v>
      </c>
      <c r="D95" s="4">
        <v>9.2000000000000028</v>
      </c>
      <c r="E95" s="4">
        <v>1.9000000000000006E-3</v>
      </c>
      <c r="F95" s="4">
        <v>3.1520000000000013E-2</v>
      </c>
      <c r="G95" s="4">
        <v>2.6800000000000011E-2</v>
      </c>
      <c r="H95" s="4">
        <v>4.720000000000002E-3</v>
      </c>
      <c r="I95" s="4">
        <v>0.14330000000000004</v>
      </c>
      <c r="J95" s="19">
        <v>72000</v>
      </c>
    </row>
    <row r="96" spans="1:10">
      <c r="A96" s="1">
        <v>3</v>
      </c>
      <c r="B96" s="1">
        <v>2</v>
      </c>
      <c r="C96" s="1">
        <v>-5</v>
      </c>
      <c r="D96" s="4">
        <v>9.2680000000000025</v>
      </c>
      <c r="E96" s="4">
        <v>4.2750000000000019E-3</v>
      </c>
      <c r="F96" s="4">
        <v>1.2140000000000005E-2</v>
      </c>
      <c r="G96" s="4">
        <v>1.2020000000000005E-2</v>
      </c>
      <c r="H96" s="4">
        <v>1.2240000000000005E-4</v>
      </c>
      <c r="I96" s="4">
        <v>0.18430000000000005</v>
      </c>
      <c r="J96" s="19">
        <v>185000</v>
      </c>
    </row>
    <row r="97" spans="1:10">
      <c r="A97" s="1">
        <v>3</v>
      </c>
      <c r="B97" s="1">
        <v>2</v>
      </c>
      <c r="C97" s="1">
        <v>-4</v>
      </c>
      <c r="D97" s="4">
        <v>9.2760000000000016</v>
      </c>
      <c r="E97" s="4">
        <v>1.2560000000000005E-2</v>
      </c>
      <c r="F97" s="4">
        <v>1.2140000000000005E-2</v>
      </c>
      <c r="G97" s="4">
        <v>1.2020000000000005E-2</v>
      </c>
      <c r="H97" s="4">
        <v>1.2240000000000005E-4</v>
      </c>
      <c r="I97" s="4">
        <v>0.18430000000000005</v>
      </c>
      <c r="J97" s="19">
        <v>185000</v>
      </c>
    </row>
    <row r="98" spans="1:10">
      <c r="A98" s="1">
        <v>3</v>
      </c>
      <c r="B98" s="1">
        <v>2</v>
      </c>
      <c r="C98" s="1">
        <v>-3</v>
      </c>
      <c r="D98" s="4">
        <v>9.2600000000000016</v>
      </c>
      <c r="E98" s="4">
        <v>-3.7990000000000016E-3</v>
      </c>
      <c r="F98" s="4">
        <v>1.2140000000000005E-2</v>
      </c>
      <c r="G98" s="4">
        <v>1.2020000000000005E-2</v>
      </c>
      <c r="H98" s="4">
        <v>1.2240000000000005E-4</v>
      </c>
      <c r="I98" s="4">
        <v>0.18430000000000005</v>
      </c>
      <c r="J98" s="19">
        <v>185000</v>
      </c>
    </row>
    <row r="99" spans="1:10">
      <c r="A99" s="1">
        <v>3</v>
      </c>
      <c r="B99" s="1">
        <v>2</v>
      </c>
      <c r="C99" s="1">
        <v>-2</v>
      </c>
      <c r="D99" s="4">
        <v>9.267000000000003</v>
      </c>
      <c r="E99" s="4">
        <v>2.9850000000000011E-3</v>
      </c>
      <c r="F99" s="4">
        <v>1.2140000000000005E-2</v>
      </c>
      <c r="G99" s="4">
        <v>1.2020000000000005E-2</v>
      </c>
      <c r="H99" s="4">
        <v>1.2240000000000005E-4</v>
      </c>
      <c r="I99" s="4">
        <v>0.18430000000000005</v>
      </c>
      <c r="J99" s="19">
        <v>185000</v>
      </c>
    </row>
    <row r="100" spans="1:10">
      <c r="A100" s="1">
        <v>3</v>
      </c>
      <c r="B100" s="1">
        <v>2</v>
      </c>
      <c r="C100" s="1">
        <v>-1</v>
      </c>
      <c r="D100" s="4">
        <v>9.256000000000002</v>
      </c>
      <c r="E100" s="4">
        <v>-7.6170000000000031E-3</v>
      </c>
      <c r="F100" s="4">
        <v>1.2140000000000005E-2</v>
      </c>
      <c r="G100" s="4">
        <v>1.2020000000000005E-2</v>
      </c>
      <c r="H100" s="4">
        <v>1.2240000000000005E-4</v>
      </c>
      <c r="I100" s="4">
        <v>0.18430000000000005</v>
      </c>
      <c r="J100" s="19">
        <v>185000</v>
      </c>
    </row>
    <row r="101" spans="1:10">
      <c r="A101" s="1">
        <v>3</v>
      </c>
      <c r="B101" s="1">
        <v>2</v>
      </c>
      <c r="C101" s="1">
        <v>0</v>
      </c>
      <c r="D101" s="4">
        <v>9.2430000000000021</v>
      </c>
      <c r="E101" s="4">
        <v>-1.4330000000000006E-2</v>
      </c>
      <c r="F101" s="4">
        <v>3.3590000000000016E-2</v>
      </c>
      <c r="G101" s="4">
        <v>2.563000000000001E-2</v>
      </c>
      <c r="H101" s="4">
        <v>7.9660000000000026E-3</v>
      </c>
      <c r="I101" s="4">
        <v>0.17770000000000005</v>
      </c>
      <c r="J101" s="19">
        <v>185000</v>
      </c>
    </row>
    <row r="102" spans="1:10">
      <c r="A102" s="1">
        <v>3</v>
      </c>
      <c r="B102" s="1">
        <v>2</v>
      </c>
      <c r="C102" s="1">
        <v>1</v>
      </c>
      <c r="D102" s="4">
        <v>9.2570000000000014</v>
      </c>
      <c r="E102" s="4">
        <v>-5.7640000000000031E-5</v>
      </c>
      <c r="F102" s="4">
        <v>3.3590000000000016E-2</v>
      </c>
      <c r="G102" s="4">
        <v>2.563000000000001E-2</v>
      </c>
      <c r="H102" s="4">
        <v>7.9660000000000026E-3</v>
      </c>
      <c r="I102" s="4">
        <v>0.17770000000000005</v>
      </c>
      <c r="J102" s="19">
        <v>185000</v>
      </c>
    </row>
    <row r="103" spans="1:10">
      <c r="A103" s="1">
        <v>3</v>
      </c>
      <c r="B103" s="1">
        <v>2</v>
      </c>
      <c r="C103" s="1">
        <v>2</v>
      </c>
      <c r="D103" s="4">
        <v>9.2600000000000016</v>
      </c>
      <c r="E103" s="4">
        <v>2.9070000000000012E-3</v>
      </c>
      <c r="F103" s="4">
        <v>3.3590000000000016E-2</v>
      </c>
      <c r="G103" s="4">
        <v>2.563000000000001E-2</v>
      </c>
      <c r="H103" s="4">
        <v>7.9660000000000026E-3</v>
      </c>
      <c r="I103" s="4">
        <v>0.17770000000000005</v>
      </c>
      <c r="J103" s="19">
        <v>185000</v>
      </c>
    </row>
    <row r="104" spans="1:10">
      <c r="A104" s="1">
        <v>3</v>
      </c>
      <c r="B104" s="1">
        <v>2</v>
      </c>
      <c r="C104" s="1">
        <v>3</v>
      </c>
      <c r="D104" s="4">
        <v>9.2640000000000029</v>
      </c>
      <c r="E104" s="4">
        <v>6.8490000000000027E-3</v>
      </c>
      <c r="F104" s="4">
        <v>3.3590000000000016E-2</v>
      </c>
      <c r="G104" s="4">
        <v>2.563000000000001E-2</v>
      </c>
      <c r="H104" s="4">
        <v>7.9660000000000026E-3</v>
      </c>
      <c r="I104" s="4">
        <v>0.17770000000000005</v>
      </c>
      <c r="J104" s="19">
        <v>185000</v>
      </c>
    </row>
    <row r="105" spans="1:10">
      <c r="A105" s="1">
        <v>3</v>
      </c>
      <c r="B105" s="1">
        <v>2</v>
      </c>
      <c r="C105" s="1">
        <v>4</v>
      </c>
      <c r="D105" s="4">
        <v>9.2580000000000027</v>
      </c>
      <c r="E105" s="4">
        <v>6.4360000000000036E-4</v>
      </c>
      <c r="F105" s="4">
        <v>3.3590000000000016E-2</v>
      </c>
      <c r="G105" s="4">
        <v>2.563000000000001E-2</v>
      </c>
      <c r="H105" s="4">
        <v>7.9660000000000026E-3</v>
      </c>
      <c r="I105" s="4">
        <v>0.17770000000000005</v>
      </c>
      <c r="J105" s="19">
        <v>185000</v>
      </c>
    </row>
    <row r="106" spans="1:10">
      <c r="A106" s="1">
        <v>3</v>
      </c>
      <c r="B106" s="1">
        <v>3</v>
      </c>
      <c r="C106" s="1">
        <v>-5</v>
      </c>
      <c r="D106" s="4">
        <v>9.2930000000000028</v>
      </c>
      <c r="E106" s="4">
        <v>3.9840000000000014E-3</v>
      </c>
      <c r="F106" s="4">
        <v>1.6710000000000006E-2</v>
      </c>
      <c r="G106" s="4">
        <v>1.8170000000000009E-2</v>
      </c>
      <c r="H106" s="4">
        <v>-1.4530000000000005E-3</v>
      </c>
      <c r="I106" s="4">
        <v>0.19240000000000007</v>
      </c>
      <c r="J106" s="19">
        <v>387000</v>
      </c>
    </row>
    <row r="107" spans="1:10">
      <c r="A107" s="1">
        <v>3</v>
      </c>
      <c r="B107" s="1">
        <v>3</v>
      </c>
      <c r="C107" s="1">
        <v>-4</v>
      </c>
      <c r="D107" s="4">
        <v>9.3010000000000019</v>
      </c>
      <c r="E107" s="4">
        <v>1.2050000000000005E-2</v>
      </c>
      <c r="F107" s="4">
        <v>1.6710000000000006E-2</v>
      </c>
      <c r="G107" s="4">
        <v>1.8170000000000009E-2</v>
      </c>
      <c r="H107" s="4">
        <v>-1.4530000000000005E-3</v>
      </c>
      <c r="I107" s="4">
        <v>0.19240000000000007</v>
      </c>
      <c r="J107" s="19">
        <v>387000</v>
      </c>
    </row>
    <row r="108" spans="1:10">
      <c r="A108" s="1">
        <v>3</v>
      </c>
      <c r="B108" s="1">
        <v>3</v>
      </c>
      <c r="C108" s="1">
        <v>-3</v>
      </c>
      <c r="D108" s="4">
        <v>9.2890000000000015</v>
      </c>
      <c r="E108" s="4">
        <v>2.4040000000000012E-4</v>
      </c>
      <c r="F108" s="4">
        <v>1.6710000000000006E-2</v>
      </c>
      <c r="G108" s="4">
        <v>1.8170000000000009E-2</v>
      </c>
      <c r="H108" s="4">
        <v>-1.4530000000000005E-3</v>
      </c>
      <c r="I108" s="4">
        <v>0.19240000000000007</v>
      </c>
      <c r="J108" s="19">
        <v>387000</v>
      </c>
    </row>
    <row r="109" spans="1:10">
      <c r="A109" s="1">
        <v>3</v>
      </c>
      <c r="B109" s="1">
        <v>3</v>
      </c>
      <c r="C109" s="1">
        <v>-2</v>
      </c>
      <c r="D109" s="4">
        <v>9.2920000000000016</v>
      </c>
      <c r="E109" s="4">
        <v>3.3310000000000011E-3</v>
      </c>
      <c r="F109" s="4">
        <v>1.6710000000000006E-2</v>
      </c>
      <c r="G109" s="4">
        <v>1.8170000000000009E-2</v>
      </c>
      <c r="H109" s="4">
        <v>-1.4530000000000005E-3</v>
      </c>
      <c r="I109" s="4">
        <v>0.19240000000000007</v>
      </c>
      <c r="J109" s="19">
        <v>387000</v>
      </c>
    </row>
    <row r="110" spans="1:10">
      <c r="A110" s="1">
        <v>3</v>
      </c>
      <c r="B110" s="1">
        <v>3</v>
      </c>
      <c r="C110" s="1">
        <v>-1</v>
      </c>
      <c r="D110" s="4">
        <v>9.2840000000000025</v>
      </c>
      <c r="E110" s="4">
        <v>-5.0580000000000017E-3</v>
      </c>
      <c r="F110" s="4">
        <v>1.6710000000000006E-2</v>
      </c>
      <c r="G110" s="4">
        <v>1.8170000000000009E-2</v>
      </c>
      <c r="H110" s="4">
        <v>-1.4530000000000005E-3</v>
      </c>
      <c r="I110" s="4">
        <v>0.19240000000000007</v>
      </c>
      <c r="J110" s="19">
        <v>387000</v>
      </c>
    </row>
    <row r="111" spans="1:10">
      <c r="A111" s="1">
        <v>3</v>
      </c>
      <c r="B111" s="1">
        <v>3</v>
      </c>
      <c r="C111" s="1">
        <v>0</v>
      </c>
      <c r="D111" s="4">
        <v>9.2850000000000019</v>
      </c>
      <c r="E111" s="4">
        <v>-1.4870000000000006E-2</v>
      </c>
      <c r="F111" s="4">
        <v>2.7530000000000013E-2</v>
      </c>
      <c r="G111" s="4">
        <v>2.0500000000000008E-2</v>
      </c>
      <c r="H111" s="4">
        <v>7.0300000000000024E-3</v>
      </c>
      <c r="I111" s="4">
        <v>0.20300000000000007</v>
      </c>
      <c r="J111" s="19">
        <v>387000</v>
      </c>
    </row>
    <row r="112" spans="1:10">
      <c r="A112" s="1">
        <v>3</v>
      </c>
      <c r="B112" s="1">
        <v>3</v>
      </c>
      <c r="C112" s="1">
        <v>1</v>
      </c>
      <c r="D112" s="4">
        <v>9.3000000000000025</v>
      </c>
      <c r="E112" s="4">
        <v>-1.5730000000000007E-5</v>
      </c>
      <c r="F112" s="4">
        <v>2.7530000000000013E-2</v>
      </c>
      <c r="G112" s="4">
        <v>2.0500000000000008E-2</v>
      </c>
      <c r="H112" s="4">
        <v>7.0300000000000024E-3</v>
      </c>
      <c r="I112" s="4">
        <v>0.20300000000000007</v>
      </c>
      <c r="J112" s="19">
        <v>387000</v>
      </c>
    </row>
    <row r="113" spans="1:10">
      <c r="A113" s="1">
        <v>3</v>
      </c>
      <c r="B113" s="1">
        <v>3</v>
      </c>
      <c r="C113" s="1">
        <v>2</v>
      </c>
      <c r="D113" s="4">
        <v>9.3010000000000019</v>
      </c>
      <c r="E113" s="4">
        <v>1.3590000000000006E-3</v>
      </c>
      <c r="F113" s="4">
        <v>2.7530000000000013E-2</v>
      </c>
      <c r="G113" s="4">
        <v>2.0500000000000008E-2</v>
      </c>
      <c r="H113" s="4">
        <v>7.0300000000000024E-3</v>
      </c>
      <c r="I113" s="4">
        <v>0.20300000000000007</v>
      </c>
      <c r="J113" s="19">
        <v>387000</v>
      </c>
    </row>
    <row r="114" spans="1:10">
      <c r="A114" s="1">
        <v>3</v>
      </c>
      <c r="B114" s="1">
        <v>3</v>
      </c>
      <c r="C114" s="1">
        <v>3</v>
      </c>
      <c r="D114" s="4">
        <v>9.3070000000000022</v>
      </c>
      <c r="E114" s="4">
        <v>7.146000000000003E-3</v>
      </c>
      <c r="F114" s="4">
        <v>2.7530000000000013E-2</v>
      </c>
      <c r="G114" s="4">
        <v>2.0500000000000008E-2</v>
      </c>
      <c r="H114" s="4">
        <v>7.0300000000000024E-3</v>
      </c>
      <c r="I114" s="4">
        <v>0.20300000000000007</v>
      </c>
      <c r="J114" s="19">
        <v>387000</v>
      </c>
    </row>
    <row r="115" spans="1:10">
      <c r="A115" s="1">
        <v>3</v>
      </c>
      <c r="B115" s="1">
        <v>3</v>
      </c>
      <c r="C115" s="1">
        <v>4</v>
      </c>
      <c r="D115" s="4">
        <v>9.3010000000000019</v>
      </c>
      <c r="E115" s="4">
        <v>1.3480000000000005E-3</v>
      </c>
      <c r="F115" s="4">
        <v>2.7530000000000013E-2</v>
      </c>
      <c r="G115" s="4">
        <v>2.0500000000000008E-2</v>
      </c>
      <c r="H115" s="4">
        <v>7.0300000000000024E-3</v>
      </c>
      <c r="I115" s="4">
        <v>0.20300000000000007</v>
      </c>
      <c r="J115" s="19">
        <v>387000</v>
      </c>
    </row>
    <row r="116" spans="1:10">
      <c r="A116" s="1">
        <v>3</v>
      </c>
      <c r="B116" s="1">
        <v>4</v>
      </c>
      <c r="C116" s="1">
        <v>-5</v>
      </c>
      <c r="D116" s="4">
        <v>9.3780000000000019</v>
      </c>
      <c r="E116" s="4">
        <v>1.8650000000000008E-3</v>
      </c>
      <c r="F116" s="4">
        <v>3.6020000000000017E-2</v>
      </c>
      <c r="G116" s="4">
        <v>3.4520000000000016E-2</v>
      </c>
      <c r="H116" s="4">
        <v>1.5030000000000006E-3</v>
      </c>
      <c r="I116" s="4">
        <v>0.21420000000000006</v>
      </c>
      <c r="J116" s="19">
        <v>742000</v>
      </c>
    </row>
    <row r="117" spans="1:10">
      <c r="A117" s="1">
        <v>3</v>
      </c>
      <c r="B117" s="1">
        <v>4</v>
      </c>
      <c r="C117" s="1">
        <v>-4</v>
      </c>
      <c r="D117" s="4">
        <v>9.3880000000000017</v>
      </c>
      <c r="E117" s="4">
        <v>1.2360000000000005E-2</v>
      </c>
      <c r="F117" s="4">
        <v>3.6020000000000017E-2</v>
      </c>
      <c r="G117" s="4">
        <v>3.4520000000000016E-2</v>
      </c>
      <c r="H117" s="4">
        <v>1.5030000000000006E-3</v>
      </c>
      <c r="I117" s="4">
        <v>0.21420000000000006</v>
      </c>
      <c r="J117" s="19">
        <v>742000</v>
      </c>
    </row>
    <row r="118" spans="1:10">
      <c r="A118" s="1">
        <v>3</v>
      </c>
      <c r="B118" s="1">
        <v>4</v>
      </c>
      <c r="C118" s="1">
        <v>-3</v>
      </c>
      <c r="D118" s="4">
        <v>9.3780000000000019</v>
      </c>
      <c r="E118" s="4">
        <v>2.448000000000001E-3</v>
      </c>
      <c r="F118" s="4">
        <v>3.6020000000000017E-2</v>
      </c>
      <c r="G118" s="4">
        <v>3.4520000000000016E-2</v>
      </c>
      <c r="H118" s="4">
        <v>1.5030000000000006E-3</v>
      </c>
      <c r="I118" s="4">
        <v>0.21420000000000006</v>
      </c>
      <c r="J118" s="19">
        <v>742000</v>
      </c>
    </row>
    <row r="119" spans="1:10">
      <c r="A119" s="1">
        <v>3</v>
      </c>
      <c r="B119" s="1">
        <v>4</v>
      </c>
      <c r="C119" s="1">
        <v>-2</v>
      </c>
      <c r="D119" s="4">
        <v>9.3820000000000014</v>
      </c>
      <c r="E119" s="4">
        <v>5.7440000000000026E-3</v>
      </c>
      <c r="F119" s="4">
        <v>3.6020000000000017E-2</v>
      </c>
      <c r="G119" s="4">
        <v>3.4520000000000016E-2</v>
      </c>
      <c r="H119" s="4">
        <v>1.5030000000000006E-3</v>
      </c>
      <c r="I119" s="4">
        <v>0.21420000000000006</v>
      </c>
      <c r="J119" s="19">
        <v>742000</v>
      </c>
    </row>
    <row r="120" spans="1:10">
      <c r="A120" s="1">
        <v>3</v>
      </c>
      <c r="B120" s="1">
        <v>4</v>
      </c>
      <c r="C120" s="1">
        <v>-1</v>
      </c>
      <c r="D120" s="4">
        <v>9.3740000000000023</v>
      </c>
      <c r="E120" s="4">
        <v>-1.7720000000000006E-3</v>
      </c>
      <c r="F120" s="4">
        <v>3.6020000000000017E-2</v>
      </c>
      <c r="G120" s="4">
        <v>3.4520000000000016E-2</v>
      </c>
      <c r="H120" s="4">
        <v>1.5030000000000006E-3</v>
      </c>
      <c r="I120" s="4">
        <v>0.21420000000000006</v>
      </c>
      <c r="J120" s="19">
        <v>742000</v>
      </c>
    </row>
    <row r="121" spans="1:10">
      <c r="A121" s="1">
        <v>3</v>
      </c>
      <c r="B121" s="1">
        <v>4</v>
      </c>
      <c r="C121" s="1">
        <v>0</v>
      </c>
      <c r="D121" s="4">
        <v>9.4120000000000026</v>
      </c>
      <c r="E121" s="4">
        <v>-1.4940000000000007E-2</v>
      </c>
      <c r="F121" s="4">
        <v>2.6130000000000011E-2</v>
      </c>
      <c r="G121" s="4">
        <v>1.8770000000000009E-2</v>
      </c>
      <c r="H121" s="4">
        <v>7.3660000000000028E-3</v>
      </c>
      <c r="I121" s="4">
        <v>0.2647000000000001</v>
      </c>
      <c r="J121" s="19">
        <v>742000</v>
      </c>
    </row>
    <row r="122" spans="1:10">
      <c r="A122" s="1">
        <v>3</v>
      </c>
      <c r="B122" s="1">
        <v>4</v>
      </c>
      <c r="C122" s="1">
        <v>1</v>
      </c>
      <c r="D122" s="4">
        <v>9.4270000000000014</v>
      </c>
      <c r="E122" s="4">
        <v>5.8210000000000033E-4</v>
      </c>
      <c r="F122" s="4">
        <v>2.6130000000000011E-2</v>
      </c>
      <c r="G122" s="4">
        <v>1.8770000000000009E-2</v>
      </c>
      <c r="H122" s="4">
        <v>7.3660000000000028E-3</v>
      </c>
      <c r="I122" s="4">
        <v>0.2647000000000001</v>
      </c>
      <c r="J122" s="19">
        <v>742000</v>
      </c>
    </row>
    <row r="123" spans="1:10">
      <c r="A123" s="1">
        <v>3</v>
      </c>
      <c r="B123" s="1">
        <v>4</v>
      </c>
      <c r="C123" s="1">
        <v>2</v>
      </c>
      <c r="D123" s="4">
        <v>9.429000000000002</v>
      </c>
      <c r="E123" s="4">
        <v>2.1330000000000008E-3</v>
      </c>
      <c r="F123" s="4">
        <v>2.6130000000000011E-2</v>
      </c>
      <c r="G123" s="4">
        <v>1.8770000000000009E-2</v>
      </c>
      <c r="H123" s="4">
        <v>7.3660000000000028E-3</v>
      </c>
      <c r="I123" s="4">
        <v>0.2647000000000001</v>
      </c>
      <c r="J123" s="19">
        <v>742000</v>
      </c>
    </row>
    <row r="124" spans="1:10">
      <c r="A124" s="1">
        <v>3</v>
      </c>
      <c r="B124" s="1">
        <v>4</v>
      </c>
      <c r="C124" s="1">
        <v>3</v>
      </c>
      <c r="D124" s="4">
        <v>9.4390000000000018</v>
      </c>
      <c r="E124" s="4">
        <v>1.2180000000000005E-2</v>
      </c>
      <c r="F124" s="4">
        <v>2.6130000000000011E-2</v>
      </c>
      <c r="G124" s="4">
        <v>1.8770000000000009E-2</v>
      </c>
      <c r="H124" s="4">
        <v>7.3660000000000028E-3</v>
      </c>
      <c r="I124" s="4">
        <v>0.2647000000000001</v>
      </c>
      <c r="J124" s="19">
        <v>742000</v>
      </c>
    </row>
    <row r="125" spans="1:10">
      <c r="A125" s="1">
        <v>3</v>
      </c>
      <c r="B125" s="1">
        <v>4</v>
      </c>
      <c r="C125" s="1">
        <v>4</v>
      </c>
      <c r="D125" s="4">
        <v>9.4280000000000026</v>
      </c>
      <c r="E125" s="4">
        <v>1.5180000000000005E-3</v>
      </c>
      <c r="F125" s="4">
        <v>2.6130000000000011E-2</v>
      </c>
      <c r="G125" s="4">
        <v>1.8770000000000009E-2</v>
      </c>
      <c r="H125" s="4">
        <v>7.3660000000000028E-3</v>
      </c>
      <c r="I125" s="4">
        <v>0.2647000000000001</v>
      </c>
      <c r="J125" s="19">
        <v>742000</v>
      </c>
    </row>
    <row r="126" spans="1:10">
      <c r="A126" s="1">
        <v>4</v>
      </c>
      <c r="B126" s="1">
        <v>1</v>
      </c>
      <c r="C126" s="1">
        <v>-5</v>
      </c>
      <c r="D126" s="4">
        <v>9.3410000000000029</v>
      </c>
      <c r="E126" s="4">
        <v>-6.2010000000000027E-4</v>
      </c>
      <c r="F126" s="4">
        <v>-1.1860000000000004E-2</v>
      </c>
      <c r="G126" s="4">
        <v>-4.2110000000000012E-3</v>
      </c>
      <c r="H126" s="4">
        <v>-7.6460000000000026E-3</v>
      </c>
      <c r="I126" s="4">
        <v>0.22190000000000007</v>
      </c>
      <c r="J126" s="19">
        <v>86500</v>
      </c>
    </row>
    <row r="127" spans="1:10">
      <c r="A127" s="1">
        <v>4</v>
      </c>
      <c r="B127" s="1">
        <v>1</v>
      </c>
      <c r="C127" s="1">
        <v>-4</v>
      </c>
      <c r="D127" s="4">
        <v>9.3540000000000028</v>
      </c>
      <c r="E127" s="4">
        <v>1.2790000000000006E-2</v>
      </c>
      <c r="F127" s="4">
        <v>-1.1860000000000004E-2</v>
      </c>
      <c r="G127" s="4">
        <v>-4.2110000000000012E-3</v>
      </c>
      <c r="H127" s="4">
        <v>-7.6460000000000026E-3</v>
      </c>
      <c r="I127" s="4">
        <v>0.22190000000000007</v>
      </c>
      <c r="J127" s="19">
        <v>86500</v>
      </c>
    </row>
    <row r="128" spans="1:10">
      <c r="A128" s="1">
        <v>4</v>
      </c>
      <c r="B128" s="1">
        <v>1</v>
      </c>
      <c r="C128" s="1">
        <v>-3</v>
      </c>
      <c r="D128" s="4">
        <v>9.3390000000000022</v>
      </c>
      <c r="E128" s="4">
        <v>-1.9680000000000006E-3</v>
      </c>
      <c r="F128" s="4">
        <v>-1.1860000000000004E-2</v>
      </c>
      <c r="G128" s="4">
        <v>-4.2110000000000012E-3</v>
      </c>
      <c r="H128" s="4">
        <v>-7.6460000000000026E-3</v>
      </c>
      <c r="I128" s="4">
        <v>0.22190000000000007</v>
      </c>
      <c r="J128" s="19">
        <v>86500</v>
      </c>
    </row>
    <row r="129" spans="1:10">
      <c r="A129" s="1">
        <v>4</v>
      </c>
      <c r="B129" s="1">
        <v>1</v>
      </c>
      <c r="C129" s="1">
        <v>-2</v>
      </c>
      <c r="D129" s="4">
        <v>9.3420000000000023</v>
      </c>
      <c r="E129" s="4">
        <v>1.0590000000000005E-3</v>
      </c>
      <c r="F129" s="4">
        <v>-1.1860000000000004E-2</v>
      </c>
      <c r="G129" s="4">
        <v>-4.2110000000000012E-3</v>
      </c>
      <c r="H129" s="4">
        <v>-7.6460000000000026E-3</v>
      </c>
      <c r="I129" s="4">
        <v>0.22190000000000007</v>
      </c>
      <c r="J129" s="19">
        <v>86500</v>
      </c>
    </row>
    <row r="130" spans="1:10">
      <c r="A130" s="1">
        <v>4</v>
      </c>
      <c r="B130" s="1">
        <v>1</v>
      </c>
      <c r="C130" s="1">
        <v>-1</v>
      </c>
      <c r="D130" s="4">
        <v>9.333000000000002</v>
      </c>
      <c r="E130" s="4">
        <v>-7.8590000000000031E-3</v>
      </c>
      <c r="F130" s="4">
        <v>-1.1860000000000004E-2</v>
      </c>
      <c r="G130" s="4">
        <v>-4.2110000000000012E-3</v>
      </c>
      <c r="H130" s="4">
        <v>-7.6460000000000026E-3</v>
      </c>
      <c r="I130" s="4">
        <v>0.22190000000000007</v>
      </c>
      <c r="J130" s="19">
        <v>86500</v>
      </c>
    </row>
    <row r="131" spans="1:10">
      <c r="A131" s="1">
        <v>4</v>
      </c>
      <c r="B131" s="1">
        <v>1</v>
      </c>
      <c r="C131" s="1">
        <v>0</v>
      </c>
      <c r="D131" s="4">
        <v>9.2660000000000018</v>
      </c>
      <c r="E131" s="4">
        <v>-1.2820000000000005E-2</v>
      </c>
      <c r="F131" s="4">
        <v>4.4230000000000019E-2</v>
      </c>
      <c r="G131" s="4">
        <v>4.115000000000002E-2</v>
      </c>
      <c r="H131" s="4">
        <v>3.079000000000001E-3</v>
      </c>
      <c r="I131" s="4">
        <v>0.15960000000000005</v>
      </c>
      <c r="J131" s="19">
        <v>86500</v>
      </c>
    </row>
    <row r="132" spans="1:10">
      <c r="A132" s="1">
        <v>4</v>
      </c>
      <c r="B132" s="1">
        <v>1</v>
      </c>
      <c r="C132" s="1">
        <v>1</v>
      </c>
      <c r="D132" s="4">
        <v>9.283000000000003</v>
      </c>
      <c r="E132" s="4">
        <v>4.1620000000000016E-3</v>
      </c>
      <c r="F132" s="4">
        <v>4.4230000000000019E-2</v>
      </c>
      <c r="G132" s="4">
        <v>4.115000000000002E-2</v>
      </c>
      <c r="H132" s="4">
        <v>3.079000000000001E-3</v>
      </c>
      <c r="I132" s="4">
        <v>0.15960000000000005</v>
      </c>
      <c r="J132" s="19">
        <v>86500</v>
      </c>
    </row>
    <row r="133" spans="1:10">
      <c r="A133" s="1">
        <v>4</v>
      </c>
      <c r="B133" s="1">
        <v>1</v>
      </c>
      <c r="C133" s="1">
        <v>2</v>
      </c>
      <c r="D133" s="4">
        <v>9.2840000000000025</v>
      </c>
      <c r="E133" s="4">
        <v>5.511000000000002E-3</v>
      </c>
      <c r="F133" s="4">
        <v>4.4230000000000019E-2</v>
      </c>
      <c r="G133" s="4">
        <v>4.115000000000002E-2</v>
      </c>
      <c r="H133" s="4">
        <v>3.079000000000001E-3</v>
      </c>
      <c r="I133" s="4">
        <v>0.15960000000000005</v>
      </c>
      <c r="J133" s="19">
        <v>86500</v>
      </c>
    </row>
    <row r="134" spans="1:10">
      <c r="A134" s="1">
        <v>4</v>
      </c>
      <c r="B134" s="1">
        <v>1</v>
      </c>
      <c r="C134" s="1">
        <v>3</v>
      </c>
      <c r="D134" s="4">
        <v>9.288000000000002</v>
      </c>
      <c r="E134" s="4">
        <v>8.9580000000000042E-3</v>
      </c>
      <c r="F134" s="4">
        <v>4.4230000000000019E-2</v>
      </c>
      <c r="G134" s="4">
        <v>4.115000000000002E-2</v>
      </c>
      <c r="H134" s="4">
        <v>3.079000000000001E-3</v>
      </c>
      <c r="I134" s="4">
        <v>0.15960000000000005</v>
      </c>
      <c r="J134" s="19">
        <v>86500</v>
      </c>
    </row>
    <row r="135" spans="1:10">
      <c r="A135" s="1">
        <v>4</v>
      </c>
      <c r="B135" s="1">
        <v>1</v>
      </c>
      <c r="C135" s="1">
        <v>4</v>
      </c>
      <c r="D135" s="4">
        <v>9.283000000000003</v>
      </c>
      <c r="E135" s="4">
        <v>3.5870000000000012E-3</v>
      </c>
      <c r="F135" s="4">
        <v>4.4230000000000019E-2</v>
      </c>
      <c r="G135" s="4">
        <v>4.115000000000002E-2</v>
      </c>
      <c r="H135" s="4">
        <v>3.079000000000001E-3</v>
      </c>
      <c r="I135" s="4">
        <v>0.15960000000000005</v>
      </c>
      <c r="J135" s="19">
        <v>86500</v>
      </c>
    </row>
    <row r="136" spans="1:10">
      <c r="A136" s="1">
        <v>4</v>
      </c>
      <c r="B136" s="1">
        <v>2</v>
      </c>
      <c r="C136" s="1">
        <v>-5</v>
      </c>
      <c r="D136" s="4">
        <v>9.381000000000002</v>
      </c>
      <c r="E136" s="4">
        <v>-1.9320000000000009E-4</v>
      </c>
      <c r="F136" s="4">
        <v>7.2070000000000033E-4</v>
      </c>
      <c r="G136" s="4">
        <v>3.6770000000000014E-3</v>
      </c>
      <c r="H136" s="4">
        <v>-2.9560000000000012E-3</v>
      </c>
      <c r="I136" s="4">
        <v>0.23400000000000007</v>
      </c>
      <c r="J136" s="19">
        <v>262000</v>
      </c>
    </row>
    <row r="137" spans="1:10">
      <c r="A137" s="1">
        <v>4</v>
      </c>
      <c r="B137" s="1">
        <v>2</v>
      </c>
      <c r="C137" s="1">
        <v>-4</v>
      </c>
      <c r="D137" s="4">
        <v>9.392000000000003</v>
      </c>
      <c r="E137" s="4">
        <v>1.0610000000000005E-2</v>
      </c>
      <c r="F137" s="4">
        <v>7.2070000000000033E-4</v>
      </c>
      <c r="G137" s="4">
        <v>3.6770000000000014E-3</v>
      </c>
      <c r="H137" s="4">
        <v>-2.9560000000000012E-3</v>
      </c>
      <c r="I137" s="4">
        <v>0.23400000000000007</v>
      </c>
      <c r="J137" s="19">
        <v>262000</v>
      </c>
    </row>
    <row r="138" spans="1:10">
      <c r="A138" s="1">
        <v>4</v>
      </c>
      <c r="B138" s="1">
        <v>2</v>
      </c>
      <c r="C138" s="1">
        <v>-3</v>
      </c>
      <c r="D138" s="4">
        <v>9.381000000000002</v>
      </c>
      <c r="E138" s="4">
        <v>-3.831000000000002E-4</v>
      </c>
      <c r="F138" s="4">
        <v>7.2070000000000033E-4</v>
      </c>
      <c r="G138" s="4">
        <v>3.6770000000000014E-3</v>
      </c>
      <c r="H138" s="4">
        <v>-2.9560000000000012E-3</v>
      </c>
      <c r="I138" s="4">
        <v>0.23400000000000007</v>
      </c>
      <c r="J138" s="19">
        <v>262000</v>
      </c>
    </row>
    <row r="139" spans="1:10">
      <c r="A139" s="1">
        <v>4</v>
      </c>
      <c r="B139" s="1">
        <v>2</v>
      </c>
      <c r="C139" s="1">
        <v>-2</v>
      </c>
      <c r="D139" s="4">
        <v>9.3830000000000027</v>
      </c>
      <c r="E139" s="4">
        <v>2.0860000000000006E-3</v>
      </c>
      <c r="F139" s="4">
        <v>7.2070000000000033E-4</v>
      </c>
      <c r="G139" s="4">
        <v>3.6770000000000014E-3</v>
      </c>
      <c r="H139" s="4">
        <v>-2.9560000000000012E-3</v>
      </c>
      <c r="I139" s="4">
        <v>0.23400000000000007</v>
      </c>
      <c r="J139" s="19">
        <v>262000</v>
      </c>
    </row>
    <row r="140" spans="1:10">
      <c r="A140" s="1">
        <v>4</v>
      </c>
      <c r="B140" s="1">
        <v>2</v>
      </c>
      <c r="C140" s="1">
        <v>-1</v>
      </c>
      <c r="D140" s="4">
        <v>9.3730000000000029</v>
      </c>
      <c r="E140" s="4">
        <v>-7.8740000000000025E-3</v>
      </c>
      <c r="F140" s="4">
        <v>7.2070000000000033E-4</v>
      </c>
      <c r="G140" s="4">
        <v>3.6770000000000014E-3</v>
      </c>
      <c r="H140" s="4">
        <v>-2.9560000000000012E-3</v>
      </c>
      <c r="I140" s="4">
        <v>0.23400000000000007</v>
      </c>
      <c r="J140" s="19">
        <v>262000</v>
      </c>
    </row>
    <row r="141" spans="1:10">
      <c r="A141" s="1">
        <v>4</v>
      </c>
      <c r="B141" s="1">
        <v>2</v>
      </c>
      <c r="C141" s="1">
        <v>0</v>
      </c>
      <c r="D141" s="4">
        <v>9.3320000000000025</v>
      </c>
      <c r="E141" s="4">
        <v>-1.0450000000000004E-2</v>
      </c>
      <c r="F141" s="4">
        <v>4.8490000000000019E-2</v>
      </c>
      <c r="G141" s="4">
        <v>4.0010000000000018E-2</v>
      </c>
      <c r="H141" s="4">
        <v>8.4760000000000026E-3</v>
      </c>
      <c r="I141" s="4">
        <v>0.19540000000000007</v>
      </c>
      <c r="J141" s="19">
        <v>262000</v>
      </c>
    </row>
    <row r="142" spans="1:10">
      <c r="A142" s="1">
        <v>4</v>
      </c>
      <c r="B142" s="1">
        <v>2</v>
      </c>
      <c r="C142" s="1">
        <v>1</v>
      </c>
      <c r="D142" s="4">
        <v>9.3460000000000019</v>
      </c>
      <c r="E142" s="4">
        <v>3.0960000000000011E-3</v>
      </c>
      <c r="F142" s="4">
        <v>4.8490000000000019E-2</v>
      </c>
      <c r="G142" s="4">
        <v>4.0010000000000018E-2</v>
      </c>
      <c r="H142" s="4">
        <v>8.4760000000000026E-3</v>
      </c>
      <c r="I142" s="4">
        <v>0.19540000000000007</v>
      </c>
      <c r="J142" s="19">
        <v>262000</v>
      </c>
    </row>
    <row r="143" spans="1:10">
      <c r="A143" s="1">
        <v>4</v>
      </c>
      <c r="B143" s="1">
        <v>2</v>
      </c>
      <c r="C143" s="1">
        <v>2</v>
      </c>
      <c r="D143" s="4">
        <v>9.3460000000000019</v>
      </c>
      <c r="E143" s="4">
        <v>3.8640000000000015E-3</v>
      </c>
      <c r="F143" s="4">
        <v>4.8490000000000019E-2</v>
      </c>
      <c r="G143" s="4">
        <v>4.0010000000000018E-2</v>
      </c>
      <c r="H143" s="4">
        <v>8.4760000000000026E-3</v>
      </c>
      <c r="I143" s="4">
        <v>0.19540000000000007</v>
      </c>
      <c r="J143" s="19">
        <v>262000</v>
      </c>
    </row>
    <row r="144" spans="1:10">
      <c r="A144" s="1">
        <v>4</v>
      </c>
      <c r="B144" s="1">
        <v>2</v>
      </c>
      <c r="C144" s="1">
        <v>3</v>
      </c>
      <c r="D144" s="4">
        <v>9.3530000000000015</v>
      </c>
      <c r="E144" s="4">
        <v>1.0040000000000004E-2</v>
      </c>
      <c r="F144" s="4">
        <v>4.8490000000000019E-2</v>
      </c>
      <c r="G144" s="4">
        <v>4.0010000000000018E-2</v>
      </c>
      <c r="H144" s="4">
        <v>8.4760000000000026E-3</v>
      </c>
      <c r="I144" s="4">
        <v>0.19540000000000007</v>
      </c>
      <c r="J144" s="19">
        <v>262000</v>
      </c>
    </row>
    <row r="145" spans="1:10">
      <c r="A145" s="1">
        <v>4</v>
      </c>
      <c r="B145" s="1">
        <v>2</v>
      </c>
      <c r="C145" s="1">
        <v>4</v>
      </c>
      <c r="D145" s="4">
        <v>9.3460000000000019</v>
      </c>
      <c r="E145" s="4">
        <v>3.5860000000000015E-3</v>
      </c>
      <c r="F145" s="4">
        <v>4.8490000000000019E-2</v>
      </c>
      <c r="G145" s="4">
        <v>4.0010000000000018E-2</v>
      </c>
      <c r="H145" s="4">
        <v>8.4760000000000026E-3</v>
      </c>
      <c r="I145" s="4">
        <v>0.19540000000000007</v>
      </c>
      <c r="J145" s="19">
        <v>262000</v>
      </c>
    </row>
    <row r="146" spans="1:10">
      <c r="A146" s="1">
        <v>4</v>
      </c>
      <c r="B146" s="1">
        <v>3</v>
      </c>
      <c r="C146" s="1">
        <v>-5</v>
      </c>
      <c r="D146" s="4">
        <v>9.4250000000000025</v>
      </c>
      <c r="E146" s="4">
        <v>-1.7320000000000007E-3</v>
      </c>
      <c r="F146" s="4">
        <v>9.8810000000000044E-3</v>
      </c>
      <c r="G146" s="4">
        <v>1.0530000000000005E-2</v>
      </c>
      <c r="H146" s="4">
        <v>-6.4520000000000029E-4</v>
      </c>
      <c r="I146" s="4">
        <v>0.25000000000000006</v>
      </c>
      <c r="J146" s="19">
        <v>728000</v>
      </c>
    </row>
    <row r="147" spans="1:10">
      <c r="A147" s="1">
        <v>4</v>
      </c>
      <c r="B147" s="1">
        <v>3</v>
      </c>
      <c r="C147" s="1">
        <v>-4</v>
      </c>
      <c r="D147" s="4">
        <v>9.4350000000000023</v>
      </c>
      <c r="E147" s="4">
        <v>7.9500000000000022E-3</v>
      </c>
      <c r="F147" s="4">
        <v>9.8810000000000044E-3</v>
      </c>
      <c r="G147" s="4">
        <v>1.0530000000000005E-2</v>
      </c>
      <c r="H147" s="4">
        <v>-6.4520000000000029E-4</v>
      </c>
      <c r="I147" s="4">
        <v>0.25000000000000006</v>
      </c>
      <c r="J147" s="19">
        <v>728000</v>
      </c>
    </row>
    <row r="148" spans="1:10">
      <c r="A148" s="1">
        <v>4</v>
      </c>
      <c r="B148" s="1">
        <v>3</v>
      </c>
      <c r="C148" s="1">
        <v>-3</v>
      </c>
      <c r="D148" s="4">
        <v>9.4260000000000019</v>
      </c>
      <c r="E148" s="4">
        <v>-5.2660000000000022E-4</v>
      </c>
      <c r="F148" s="4">
        <v>9.8810000000000044E-3</v>
      </c>
      <c r="G148" s="4">
        <v>1.0530000000000005E-2</v>
      </c>
      <c r="H148" s="4">
        <v>-6.4520000000000029E-4</v>
      </c>
      <c r="I148" s="4">
        <v>0.25000000000000006</v>
      </c>
      <c r="J148" s="19">
        <v>728000</v>
      </c>
    </row>
    <row r="149" spans="1:10">
      <c r="A149" s="1">
        <v>4</v>
      </c>
      <c r="B149" s="1">
        <v>3</v>
      </c>
      <c r="C149" s="1">
        <v>-2</v>
      </c>
      <c r="D149" s="4">
        <v>9.429000000000002</v>
      </c>
      <c r="E149" s="4">
        <v>1.6260000000000007E-3</v>
      </c>
      <c r="F149" s="4">
        <v>9.8810000000000044E-3</v>
      </c>
      <c r="G149" s="4">
        <v>1.0530000000000005E-2</v>
      </c>
      <c r="H149" s="4">
        <v>-6.4520000000000029E-4</v>
      </c>
      <c r="I149" s="4">
        <v>0.25000000000000006</v>
      </c>
      <c r="J149" s="19">
        <v>728000</v>
      </c>
    </row>
    <row r="150" spans="1:10">
      <c r="A150" s="1">
        <v>4</v>
      </c>
      <c r="B150" s="1">
        <v>3</v>
      </c>
      <c r="C150" s="1">
        <v>-1</v>
      </c>
      <c r="D150" s="4">
        <v>9.4190000000000023</v>
      </c>
      <c r="E150" s="4">
        <v>-7.7110000000000026E-3</v>
      </c>
      <c r="F150" s="4">
        <v>9.8810000000000044E-3</v>
      </c>
      <c r="G150" s="4">
        <v>1.0530000000000005E-2</v>
      </c>
      <c r="H150" s="4">
        <v>-6.4520000000000029E-4</v>
      </c>
      <c r="I150" s="4">
        <v>0.25000000000000006</v>
      </c>
      <c r="J150" s="19">
        <v>728000</v>
      </c>
    </row>
    <row r="151" spans="1:10">
      <c r="A151" s="1">
        <v>4</v>
      </c>
      <c r="B151" s="1">
        <v>3</v>
      </c>
      <c r="C151" s="1">
        <v>0</v>
      </c>
      <c r="D151" s="4">
        <v>9.3930000000000025</v>
      </c>
      <c r="E151" s="4">
        <v>-8.3320000000000026E-3</v>
      </c>
      <c r="F151" s="4">
        <v>4.7680000000000021E-2</v>
      </c>
      <c r="G151" s="4">
        <v>4.0150000000000019E-2</v>
      </c>
      <c r="H151" s="4">
        <v>7.5260000000000032E-3</v>
      </c>
      <c r="I151" s="4">
        <v>0.22480000000000008</v>
      </c>
      <c r="J151" s="19">
        <v>728000</v>
      </c>
    </row>
    <row r="152" spans="1:10">
      <c r="A152" s="1">
        <v>4</v>
      </c>
      <c r="B152" s="1">
        <v>3</v>
      </c>
      <c r="C152" s="1">
        <v>1</v>
      </c>
      <c r="D152" s="4">
        <v>9.4090000000000025</v>
      </c>
      <c r="E152" s="4">
        <v>7.0930000000000029E-3</v>
      </c>
      <c r="F152" s="4">
        <v>4.7680000000000021E-2</v>
      </c>
      <c r="G152" s="4">
        <v>4.0150000000000019E-2</v>
      </c>
      <c r="H152" s="4">
        <v>7.5260000000000032E-3</v>
      </c>
      <c r="I152" s="4">
        <v>0.22480000000000008</v>
      </c>
      <c r="J152" s="19">
        <v>728000</v>
      </c>
    </row>
    <row r="153" spans="1:10">
      <c r="A153" s="1">
        <v>4</v>
      </c>
      <c r="B153" s="1">
        <v>3</v>
      </c>
      <c r="C153" s="1">
        <v>2</v>
      </c>
      <c r="D153" s="4">
        <v>9.4090000000000025</v>
      </c>
      <c r="E153" s="4">
        <v>7.7200000000000029E-3</v>
      </c>
      <c r="F153" s="4">
        <v>4.7680000000000021E-2</v>
      </c>
      <c r="G153" s="4">
        <v>4.0150000000000019E-2</v>
      </c>
      <c r="H153" s="4">
        <v>7.5260000000000032E-3</v>
      </c>
      <c r="I153" s="4">
        <v>0.22480000000000008</v>
      </c>
      <c r="J153" s="19">
        <v>728000</v>
      </c>
    </row>
    <row r="154" spans="1:10">
      <c r="A154" s="1">
        <v>4</v>
      </c>
      <c r="B154" s="1">
        <v>3</v>
      </c>
      <c r="C154" s="1">
        <v>3</v>
      </c>
      <c r="D154" s="4">
        <v>9.4170000000000016</v>
      </c>
      <c r="E154" s="4">
        <v>1.5460000000000007E-2</v>
      </c>
      <c r="F154" s="4">
        <v>4.7680000000000021E-2</v>
      </c>
      <c r="G154" s="4">
        <v>4.0150000000000019E-2</v>
      </c>
      <c r="H154" s="4">
        <v>7.5260000000000032E-3</v>
      </c>
      <c r="I154" s="4">
        <v>0.22480000000000008</v>
      </c>
      <c r="J154" s="19">
        <v>728000</v>
      </c>
    </row>
    <row r="155" spans="1:10">
      <c r="A155" s="1">
        <v>4</v>
      </c>
      <c r="B155" s="1">
        <v>3</v>
      </c>
      <c r="C155" s="1">
        <v>4</v>
      </c>
      <c r="D155" s="4">
        <v>9.408000000000003</v>
      </c>
      <c r="E155" s="4">
        <v>6.7520000000000028E-3</v>
      </c>
      <c r="F155" s="4">
        <v>4.7680000000000021E-2</v>
      </c>
      <c r="G155" s="4">
        <v>4.0150000000000019E-2</v>
      </c>
      <c r="H155" s="4">
        <v>7.5260000000000032E-3</v>
      </c>
      <c r="I155" s="4">
        <v>0.22480000000000008</v>
      </c>
      <c r="J155" s="19">
        <v>728000</v>
      </c>
    </row>
    <row r="156" spans="1:10">
      <c r="A156" s="1">
        <v>4</v>
      </c>
      <c r="B156" s="1">
        <v>4</v>
      </c>
      <c r="C156" s="1">
        <v>-5</v>
      </c>
      <c r="D156" s="4">
        <v>9.5770000000000017</v>
      </c>
      <c r="E156" s="4">
        <v>-4.9940000000000019E-3</v>
      </c>
      <c r="F156" s="4">
        <v>3.5470000000000015E-2</v>
      </c>
      <c r="G156" s="4">
        <v>2.4160000000000011E-2</v>
      </c>
      <c r="H156" s="4">
        <v>1.1310000000000004E-2</v>
      </c>
      <c r="I156" s="4">
        <v>0.32210000000000011</v>
      </c>
      <c r="J156" s="19">
        <v>3381000</v>
      </c>
    </row>
    <row r="157" spans="1:10">
      <c r="A157" s="1">
        <v>4</v>
      </c>
      <c r="B157" s="1">
        <v>4</v>
      </c>
      <c r="C157" s="1">
        <v>-4</v>
      </c>
      <c r="D157" s="4">
        <v>9.5880000000000027</v>
      </c>
      <c r="E157" s="4">
        <v>5.2480000000000018E-3</v>
      </c>
      <c r="F157" s="4">
        <v>3.5470000000000015E-2</v>
      </c>
      <c r="G157" s="4">
        <v>2.4160000000000011E-2</v>
      </c>
      <c r="H157" s="4">
        <v>1.1310000000000004E-2</v>
      </c>
      <c r="I157" s="4">
        <v>0.32210000000000011</v>
      </c>
      <c r="J157" s="19">
        <v>3381000</v>
      </c>
    </row>
    <row r="158" spans="1:10">
      <c r="A158" s="1">
        <v>4</v>
      </c>
      <c r="B158" s="1">
        <v>4</v>
      </c>
      <c r="C158" s="1">
        <v>-3</v>
      </c>
      <c r="D158" s="4">
        <v>9.5820000000000025</v>
      </c>
      <c r="E158" s="4">
        <v>-6.9890000000000035E-4</v>
      </c>
      <c r="F158" s="4">
        <v>3.5470000000000015E-2</v>
      </c>
      <c r="G158" s="4">
        <v>2.4160000000000011E-2</v>
      </c>
      <c r="H158" s="4">
        <v>1.1310000000000004E-2</v>
      </c>
      <c r="I158" s="4">
        <v>0.32210000000000011</v>
      </c>
      <c r="J158" s="19">
        <v>3381000</v>
      </c>
    </row>
    <row r="159" spans="1:10">
      <c r="A159" s="1">
        <v>4</v>
      </c>
      <c r="B159" s="1">
        <v>4</v>
      </c>
      <c r="C159" s="1">
        <v>-2</v>
      </c>
      <c r="D159" s="4">
        <v>9.5850000000000026</v>
      </c>
      <c r="E159" s="4">
        <v>2.981000000000001E-3</v>
      </c>
      <c r="F159" s="4">
        <v>3.5470000000000015E-2</v>
      </c>
      <c r="G159" s="4">
        <v>2.4160000000000011E-2</v>
      </c>
      <c r="H159" s="4">
        <v>1.1310000000000004E-2</v>
      </c>
      <c r="I159" s="4">
        <v>0.32210000000000011</v>
      </c>
      <c r="J159" s="19">
        <v>3381000</v>
      </c>
    </row>
    <row r="160" spans="1:10">
      <c r="A160" s="1">
        <v>4</v>
      </c>
      <c r="B160" s="1">
        <v>4</v>
      </c>
      <c r="C160" s="1">
        <v>-1</v>
      </c>
      <c r="D160" s="4">
        <v>9.5790000000000024</v>
      </c>
      <c r="E160" s="4">
        <v>-3.9390000000000015E-3</v>
      </c>
      <c r="F160" s="4">
        <v>3.5470000000000015E-2</v>
      </c>
      <c r="G160" s="4">
        <v>2.4160000000000011E-2</v>
      </c>
      <c r="H160" s="4">
        <v>1.1310000000000004E-2</v>
      </c>
      <c r="I160" s="4">
        <v>0.32210000000000011</v>
      </c>
      <c r="J160" s="19">
        <v>3381000</v>
      </c>
    </row>
    <row r="161" spans="1:10">
      <c r="A161" s="1">
        <v>4</v>
      </c>
      <c r="B161" s="1">
        <v>4</v>
      </c>
      <c r="C161" s="1">
        <v>0</v>
      </c>
      <c r="D161" s="4">
        <v>9.599000000000002</v>
      </c>
      <c r="E161" s="4">
        <v>-7.9380000000000023E-3</v>
      </c>
      <c r="F161" s="4">
        <v>6.0010000000000029E-2</v>
      </c>
      <c r="G161" s="4">
        <v>4.1970000000000014E-2</v>
      </c>
      <c r="H161" s="4">
        <v>1.8040000000000007E-2</v>
      </c>
      <c r="I161" s="4">
        <v>0.34700000000000009</v>
      </c>
      <c r="J161" s="19">
        <v>3381000</v>
      </c>
    </row>
    <row r="162" spans="1:10">
      <c r="A162" s="1">
        <v>4</v>
      </c>
      <c r="B162" s="1">
        <v>4</v>
      </c>
      <c r="C162" s="1">
        <v>1</v>
      </c>
      <c r="D162" s="4">
        <v>9.615000000000002</v>
      </c>
      <c r="E162" s="4">
        <v>7.2290000000000028E-3</v>
      </c>
      <c r="F162" s="4">
        <v>6.0010000000000029E-2</v>
      </c>
      <c r="G162" s="4">
        <v>4.1970000000000014E-2</v>
      </c>
      <c r="H162" s="4">
        <v>1.8040000000000007E-2</v>
      </c>
      <c r="I162" s="4">
        <v>0.34700000000000009</v>
      </c>
      <c r="J162" s="19">
        <v>3381000</v>
      </c>
    </row>
    <row r="163" spans="1:10">
      <c r="A163" s="1">
        <v>4</v>
      </c>
      <c r="B163" s="1">
        <v>4</v>
      </c>
      <c r="C163" s="1">
        <v>2</v>
      </c>
      <c r="D163" s="4">
        <v>9.6170000000000027</v>
      </c>
      <c r="E163" s="4">
        <v>9.5370000000000038E-3</v>
      </c>
      <c r="F163" s="4">
        <v>6.0010000000000029E-2</v>
      </c>
      <c r="G163" s="4">
        <v>4.1970000000000014E-2</v>
      </c>
      <c r="H163" s="4">
        <v>1.8040000000000007E-2</v>
      </c>
      <c r="I163" s="4">
        <v>0.34700000000000009</v>
      </c>
      <c r="J163" s="19">
        <v>3381000</v>
      </c>
    </row>
    <row r="164" spans="1:10">
      <c r="A164" s="1">
        <v>4</v>
      </c>
      <c r="B164" s="1">
        <v>4</v>
      </c>
      <c r="C164" s="1">
        <v>3</v>
      </c>
      <c r="D164" s="4">
        <v>9.6300000000000026</v>
      </c>
      <c r="E164" s="4">
        <v>2.2560000000000011E-2</v>
      </c>
      <c r="F164" s="4">
        <v>6.0010000000000029E-2</v>
      </c>
      <c r="G164" s="4">
        <v>4.1970000000000014E-2</v>
      </c>
      <c r="H164" s="4">
        <v>1.8040000000000007E-2</v>
      </c>
      <c r="I164" s="4">
        <v>0.34700000000000009</v>
      </c>
      <c r="J164" s="19">
        <v>3381000</v>
      </c>
    </row>
    <row r="165" spans="1:10">
      <c r="A165" s="1">
        <v>4</v>
      </c>
      <c r="B165" s="1">
        <v>4</v>
      </c>
      <c r="C165" s="1">
        <v>4</v>
      </c>
      <c r="D165" s="4">
        <v>9.6190000000000015</v>
      </c>
      <c r="E165" s="4">
        <v>1.1270000000000004E-2</v>
      </c>
      <c r="F165" s="4">
        <v>6.0010000000000029E-2</v>
      </c>
      <c r="G165" s="4">
        <v>4.1970000000000014E-2</v>
      </c>
      <c r="H165" s="4">
        <v>1.8040000000000007E-2</v>
      </c>
      <c r="I165" s="4">
        <v>0.34700000000000009</v>
      </c>
      <c r="J165" s="19">
        <v>3381000</v>
      </c>
    </row>
  </sheetData>
  <mergeCells count="1">
    <mergeCell ref="D4:I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06"/>
  <sheetViews>
    <sheetView zoomScale="85" zoomScaleNormal="85" workbookViewId="0"/>
  </sheetViews>
  <sheetFormatPr baseColWidth="10" defaultColWidth="8.83203125" defaultRowHeight="15"/>
  <cols>
    <col min="1" max="6" width="12.6640625" customWidth="1"/>
    <col min="7" max="8" width="14.33203125" customWidth="1"/>
    <col min="9" max="9" width="12.6640625" customWidth="1"/>
    <col min="10" max="10" width="13.33203125" customWidth="1"/>
    <col min="11" max="11" width="12.6640625" customWidth="1"/>
  </cols>
  <sheetData>
    <row r="1" spans="1:13">
      <c r="A1" s="16" t="s">
        <v>201</v>
      </c>
      <c r="I1" s="9"/>
      <c r="L1" s="9"/>
    </row>
    <row r="2" spans="1:13">
      <c r="A2" s="9"/>
    </row>
    <row r="5" spans="1:13">
      <c r="C5" s="59" t="s">
        <v>181</v>
      </c>
      <c r="D5" s="59"/>
      <c r="E5" s="59"/>
      <c r="F5" s="59"/>
      <c r="G5" s="59"/>
      <c r="H5" s="59"/>
      <c r="I5" s="59"/>
    </row>
    <row r="6" spans="1:13" ht="32">
      <c r="A6" s="12" t="s">
        <v>188</v>
      </c>
      <c r="B6" s="12" t="s">
        <v>189</v>
      </c>
      <c r="C6" s="12" t="s">
        <v>190</v>
      </c>
      <c r="D6" s="12" t="s">
        <v>191</v>
      </c>
      <c r="E6" s="12" t="s">
        <v>192</v>
      </c>
      <c r="F6" s="12" t="s">
        <v>193</v>
      </c>
      <c r="G6" s="12" t="s">
        <v>194</v>
      </c>
      <c r="H6" s="12" t="s">
        <v>195</v>
      </c>
      <c r="I6" s="12" t="s">
        <v>204</v>
      </c>
      <c r="J6" s="12" t="s">
        <v>186</v>
      </c>
    </row>
    <row r="7" spans="1:13">
      <c r="A7" s="4">
        <v>1</v>
      </c>
      <c r="B7" s="4">
        <v>1</v>
      </c>
      <c r="C7" s="4">
        <v>-3.5959999999999999E-2</v>
      </c>
      <c r="D7" s="4">
        <v>-2.0740000000000001E-2</v>
      </c>
      <c r="E7" s="4">
        <v>-1.434E-2</v>
      </c>
      <c r="F7" s="4">
        <v>-9.2490000000000003E-3</v>
      </c>
      <c r="G7" s="4">
        <v>-5.0939999999999996E-3</v>
      </c>
      <c r="H7" s="4">
        <v>-8.8329999999999995E-4</v>
      </c>
      <c r="I7" s="4">
        <v>-1.523E-2</v>
      </c>
      <c r="J7" s="19">
        <v>1200</v>
      </c>
      <c r="K7" s="1"/>
    </row>
    <row r="8" spans="1:13">
      <c r="A8" s="4">
        <v>1</v>
      </c>
      <c r="B8" s="4">
        <v>2</v>
      </c>
      <c r="C8" s="4">
        <v>-4.4889999999999999E-3</v>
      </c>
      <c r="D8" s="4">
        <v>-2.903E-2</v>
      </c>
      <c r="E8" s="4">
        <v>-2.0650000000000002E-2</v>
      </c>
      <c r="F8" s="4">
        <v>-1.167E-2</v>
      </c>
      <c r="G8" s="4">
        <v>-8.9809999999999994E-3</v>
      </c>
      <c r="H8" s="4">
        <v>4.5199999999999997E-2</v>
      </c>
      <c r="I8" s="4">
        <v>2.4539999999999999E-2</v>
      </c>
      <c r="J8" s="19">
        <v>1100</v>
      </c>
      <c r="K8" s="1"/>
      <c r="M8" s="13"/>
    </row>
    <row r="9" spans="1:13">
      <c r="A9" s="4">
        <v>1</v>
      </c>
      <c r="B9" s="4">
        <v>3</v>
      </c>
      <c r="C9" s="4">
        <v>-6.973E-3</v>
      </c>
      <c r="D9" s="4">
        <v>-2.2040000000000001E-2</v>
      </c>
      <c r="E9" s="4">
        <v>-4.8039999999999999E-2</v>
      </c>
      <c r="F9" s="4">
        <v>-2.8559999999999999E-2</v>
      </c>
      <c r="G9" s="4">
        <v>-1.9470000000000001E-2</v>
      </c>
      <c r="H9" s="4">
        <v>6.3109999999999999E-2</v>
      </c>
      <c r="I9" s="4">
        <v>1.507E-2</v>
      </c>
      <c r="J9" s="19">
        <v>900</v>
      </c>
      <c r="K9" s="1"/>
    </row>
    <row r="10" spans="1:13">
      <c r="A10" s="4">
        <v>1</v>
      </c>
      <c r="B10" s="4">
        <v>4</v>
      </c>
      <c r="C10" s="4">
        <v>1.112E-2</v>
      </c>
      <c r="D10" s="4">
        <v>7.2069999999999999E-3</v>
      </c>
      <c r="E10" s="4">
        <v>-5.7959999999999998E-2</v>
      </c>
      <c r="F10" s="4">
        <v>-4.5339999999999998E-2</v>
      </c>
      <c r="G10" s="4">
        <v>-1.2619999999999999E-2</v>
      </c>
      <c r="H10" s="4">
        <v>6.1870000000000001E-2</v>
      </c>
      <c r="I10" s="4">
        <v>3.9170000000000003E-3</v>
      </c>
      <c r="J10" s="19">
        <v>1600</v>
      </c>
      <c r="K10" s="1"/>
    </row>
    <row r="11" spans="1:13">
      <c r="A11" s="4">
        <v>1</v>
      </c>
      <c r="B11" s="4">
        <v>5</v>
      </c>
      <c r="C11" s="4">
        <v>-3.8570000000000002E-3</v>
      </c>
      <c r="D11" s="4">
        <v>-3.243E-2</v>
      </c>
      <c r="E11" s="4">
        <v>-3.2890000000000003E-2</v>
      </c>
      <c r="F11" s="4">
        <v>-2.759E-2</v>
      </c>
      <c r="G11" s="4">
        <v>-5.293E-3</v>
      </c>
      <c r="H11" s="4">
        <v>6.1460000000000001E-2</v>
      </c>
      <c r="I11" s="4">
        <v>2.8580000000000001E-2</v>
      </c>
      <c r="J11" s="19">
        <v>1200</v>
      </c>
      <c r="K11" s="1"/>
    </row>
    <row r="12" spans="1:13">
      <c r="A12" s="4">
        <v>1</v>
      </c>
      <c r="B12" s="4">
        <v>6</v>
      </c>
      <c r="C12" s="4">
        <v>3.307E-3</v>
      </c>
      <c r="D12" s="4">
        <v>-1.3339999999999999E-2</v>
      </c>
      <c r="E12" s="4">
        <v>-6.13E-2</v>
      </c>
      <c r="F12" s="4">
        <v>-3.474E-2</v>
      </c>
      <c r="G12" s="4">
        <v>-2.656E-2</v>
      </c>
      <c r="H12" s="4">
        <v>7.7939999999999995E-2</v>
      </c>
      <c r="I12" s="4">
        <v>1.6639999999999999E-2</v>
      </c>
      <c r="J12" s="19">
        <v>750</v>
      </c>
      <c r="K12" s="1"/>
    </row>
    <row r="13" spans="1:13">
      <c r="A13" s="4">
        <v>1</v>
      </c>
      <c r="B13" s="4">
        <v>7</v>
      </c>
      <c r="C13" s="4">
        <v>1.7160000000000002E-2</v>
      </c>
      <c r="D13" s="4">
        <v>4.3140000000000001E-3</v>
      </c>
      <c r="E13" s="4">
        <v>-7.2569999999999996E-2</v>
      </c>
      <c r="F13" s="4">
        <v>-3.7850000000000002E-2</v>
      </c>
      <c r="G13" s="4">
        <v>-3.4720000000000001E-2</v>
      </c>
      <c r="H13" s="4">
        <v>8.5419999999999996E-2</v>
      </c>
      <c r="I13" s="4">
        <v>1.2840000000000001E-2</v>
      </c>
      <c r="J13" s="19">
        <v>600</v>
      </c>
      <c r="K13" s="1"/>
    </row>
    <row r="14" spans="1:13">
      <c r="A14" s="4">
        <v>1</v>
      </c>
      <c r="B14" s="4">
        <v>8</v>
      </c>
      <c r="C14" s="4">
        <v>2.2669999999999999E-3</v>
      </c>
      <c r="D14" s="4">
        <v>-2.0590000000000001E-3</v>
      </c>
      <c r="E14" s="4">
        <v>-5.7110000000000001E-2</v>
      </c>
      <c r="F14" s="4">
        <v>-5.6370000000000003E-2</v>
      </c>
      <c r="G14" s="4">
        <v>-7.4209999999999999E-4</v>
      </c>
      <c r="H14" s="4">
        <v>6.1429999999999998E-2</v>
      </c>
      <c r="I14" s="4">
        <v>4.3270000000000001E-3</v>
      </c>
      <c r="J14" s="19">
        <v>1100</v>
      </c>
      <c r="K14" s="1"/>
    </row>
    <row r="15" spans="1:13">
      <c r="A15" s="4">
        <v>1</v>
      </c>
      <c r="B15" s="4">
        <v>9</v>
      </c>
      <c r="C15" s="4">
        <v>2.63E-2</v>
      </c>
      <c r="D15" s="4">
        <v>-3.173E-3</v>
      </c>
      <c r="E15" s="4">
        <v>-6.4740000000000006E-2</v>
      </c>
      <c r="F15" s="4">
        <v>-4.002E-2</v>
      </c>
      <c r="G15" s="4">
        <v>-2.4709999999999999E-2</v>
      </c>
      <c r="H15" s="4">
        <v>9.4210000000000099E-2</v>
      </c>
      <c r="I15" s="4">
        <v>2.9479999999999999E-2</v>
      </c>
      <c r="J15" s="19">
        <v>450</v>
      </c>
      <c r="K15" s="1"/>
    </row>
    <row r="16" spans="1:13">
      <c r="A16" s="4">
        <v>1</v>
      </c>
      <c r="B16" s="4">
        <v>10</v>
      </c>
      <c r="C16" s="4">
        <v>1.1599999999999999E-2</v>
      </c>
      <c r="D16" s="4">
        <v>-3.5639999999999998E-2</v>
      </c>
      <c r="E16" s="4">
        <v>-5.3429999999999998E-2</v>
      </c>
      <c r="F16" s="4">
        <v>-3.5279999999999999E-2</v>
      </c>
      <c r="G16" s="4">
        <v>-1.8149999999999999E-2</v>
      </c>
      <c r="H16" s="4">
        <v>0.1007</v>
      </c>
      <c r="I16" s="4">
        <v>4.7230000000000001E-2</v>
      </c>
      <c r="J16" s="19">
        <v>1400</v>
      </c>
      <c r="K16" s="1"/>
    </row>
    <row r="17" spans="1:11">
      <c r="A17" s="4">
        <v>1</v>
      </c>
      <c r="B17" s="4">
        <v>11</v>
      </c>
      <c r="C17" s="4">
        <v>3.1189999999999999E-2</v>
      </c>
      <c r="D17" s="4">
        <v>-4.5510000000000004E-3</v>
      </c>
      <c r="E17" s="4">
        <v>-8.3750000000000005E-2</v>
      </c>
      <c r="F17" s="4">
        <v>-4.7719999999999999E-2</v>
      </c>
      <c r="G17" s="4">
        <v>-3.603E-2</v>
      </c>
      <c r="H17" s="4">
        <v>0.1195</v>
      </c>
      <c r="I17" s="4">
        <v>3.5740000000000001E-2</v>
      </c>
      <c r="J17" s="19">
        <v>850</v>
      </c>
      <c r="K17" s="1"/>
    </row>
    <row r="18" spans="1:11">
      <c r="A18" s="4">
        <v>1</v>
      </c>
      <c r="B18" s="4">
        <v>12</v>
      </c>
      <c r="C18" s="4">
        <v>2.5930000000000002E-2</v>
      </c>
      <c r="D18" s="4">
        <v>-1.2489999999999999E-2</v>
      </c>
      <c r="E18" s="4">
        <v>-5.8400000000000001E-2</v>
      </c>
      <c r="F18" s="4">
        <v>-4.0919999999999998E-2</v>
      </c>
      <c r="G18" s="4">
        <v>-1.7479999999999999E-2</v>
      </c>
      <c r="H18" s="4">
        <v>9.6820000000000003E-2</v>
      </c>
      <c r="I18" s="4">
        <v>3.8420000000000003E-2</v>
      </c>
      <c r="J18" s="19">
        <v>550</v>
      </c>
      <c r="K18" s="1"/>
    </row>
    <row r="19" spans="1:11">
      <c r="A19" s="4">
        <v>1</v>
      </c>
      <c r="B19" s="4">
        <v>13</v>
      </c>
      <c r="C19" s="4">
        <v>4.6710000000000002E-2</v>
      </c>
      <c r="D19" s="4">
        <v>-2.0660000000000001E-2</v>
      </c>
      <c r="E19" s="4">
        <v>-5.024E-2</v>
      </c>
      <c r="F19" s="4">
        <v>-3.1919999999999997E-2</v>
      </c>
      <c r="G19" s="4">
        <v>-1.8319999999999999E-2</v>
      </c>
      <c r="H19" s="4">
        <v>0.1176</v>
      </c>
      <c r="I19" s="4">
        <v>6.7369999999999999E-2</v>
      </c>
      <c r="J19" s="19">
        <v>500</v>
      </c>
      <c r="K19" s="1"/>
    </row>
    <row r="20" spans="1:11">
      <c r="A20" s="4">
        <v>1</v>
      </c>
      <c r="B20" s="4">
        <v>14</v>
      </c>
      <c r="C20" s="4">
        <v>1.8159999999999999E-3</v>
      </c>
      <c r="D20" s="4">
        <v>-4.2939999999999999E-2</v>
      </c>
      <c r="E20" s="4">
        <v>-4.2139999999999997E-2</v>
      </c>
      <c r="F20" s="4">
        <v>-3.6609999999999997E-2</v>
      </c>
      <c r="G20" s="4">
        <v>-5.5329999999999997E-3</v>
      </c>
      <c r="H20" s="4">
        <v>8.6900000000000005E-2</v>
      </c>
      <c r="I20" s="4">
        <v>4.4760000000000001E-2</v>
      </c>
      <c r="J20" s="19">
        <v>1400</v>
      </c>
      <c r="K20" s="1"/>
    </row>
    <row r="21" spans="1:11">
      <c r="A21" s="4">
        <v>1</v>
      </c>
      <c r="B21" s="4">
        <v>15</v>
      </c>
      <c r="C21" s="4">
        <v>1.8519999999999998E-2</v>
      </c>
      <c r="D21" s="4">
        <v>-3.4459999999999998E-2</v>
      </c>
      <c r="E21" s="4">
        <v>-8.2159999999999997E-2</v>
      </c>
      <c r="F21" s="4">
        <v>-3.4880000000000001E-2</v>
      </c>
      <c r="G21" s="4">
        <v>-4.7289999999999999E-2</v>
      </c>
      <c r="H21" s="4">
        <v>0.1351</v>
      </c>
      <c r="I21" s="4">
        <v>5.2979999999999999E-2</v>
      </c>
      <c r="J21" s="19">
        <v>900</v>
      </c>
      <c r="K21" s="1"/>
    </row>
    <row r="22" spans="1:11">
      <c r="A22" s="4">
        <v>1</v>
      </c>
      <c r="B22" s="4">
        <v>16</v>
      </c>
      <c r="C22" s="4">
        <v>1.77E-2</v>
      </c>
      <c r="D22" s="4">
        <v>-6.2300000000000001E-2</v>
      </c>
      <c r="E22" s="4">
        <v>-5.8450000000000002E-2</v>
      </c>
      <c r="F22" s="4">
        <v>-2.6689999999999998E-2</v>
      </c>
      <c r="G22" s="4">
        <v>-3.1759999999999997E-2</v>
      </c>
      <c r="H22" s="4">
        <v>0.13850000000000001</v>
      </c>
      <c r="I22" s="4">
        <v>0.08</v>
      </c>
      <c r="J22" s="19">
        <v>650</v>
      </c>
      <c r="K22" s="1"/>
    </row>
    <row r="23" spans="1:11">
      <c r="A23" s="4">
        <v>1</v>
      </c>
      <c r="B23" s="4">
        <v>17</v>
      </c>
      <c r="C23" s="4">
        <v>2.6610000000000002E-2</v>
      </c>
      <c r="D23" s="4">
        <v>-2.3990000000000001E-2</v>
      </c>
      <c r="E23" s="4">
        <v>-0.1075</v>
      </c>
      <c r="F23" s="4">
        <v>-7.1870000000000003E-2</v>
      </c>
      <c r="G23" s="4">
        <v>-3.5619999999999999E-2</v>
      </c>
      <c r="H23" s="4">
        <v>0.15809999999999999</v>
      </c>
      <c r="I23" s="4">
        <v>5.0599999999999999E-2</v>
      </c>
      <c r="J23" s="19">
        <v>1400</v>
      </c>
      <c r="K23" s="1"/>
    </row>
    <row r="24" spans="1:11">
      <c r="A24" s="4">
        <v>1</v>
      </c>
      <c r="B24" s="4">
        <v>18</v>
      </c>
      <c r="C24" s="4">
        <v>2.7560000000000001E-2</v>
      </c>
      <c r="D24" s="4">
        <v>-3.952E-2</v>
      </c>
      <c r="E24" s="4">
        <v>-9.9510000000000001E-2</v>
      </c>
      <c r="F24" s="4">
        <v>-6.8500000000000005E-2</v>
      </c>
      <c r="G24" s="4">
        <v>-3.1009999999999999E-2</v>
      </c>
      <c r="H24" s="4">
        <v>0.1666</v>
      </c>
      <c r="I24" s="4">
        <v>6.7080000000000001E-2</v>
      </c>
      <c r="J24" s="19">
        <v>1600</v>
      </c>
      <c r="K24" s="1"/>
    </row>
    <row r="25" spans="1:11">
      <c r="A25" s="4">
        <v>1</v>
      </c>
      <c r="B25" s="4">
        <v>19</v>
      </c>
      <c r="C25" s="4">
        <v>6.1039999999999997E-2</v>
      </c>
      <c r="D25" s="4">
        <v>-4.7849999999999997E-2</v>
      </c>
      <c r="E25" s="4">
        <v>-8.4760000000000002E-2</v>
      </c>
      <c r="F25" s="4">
        <v>-5.806E-2</v>
      </c>
      <c r="G25" s="4">
        <v>-2.6700000000000002E-2</v>
      </c>
      <c r="H25" s="4">
        <v>0.19370000000000001</v>
      </c>
      <c r="I25" s="4">
        <v>0.1089</v>
      </c>
      <c r="J25" s="19">
        <v>1400</v>
      </c>
      <c r="K25" s="1"/>
    </row>
    <row r="26" spans="1:11">
      <c r="A26" s="4">
        <v>1</v>
      </c>
      <c r="B26" s="4">
        <v>20</v>
      </c>
      <c r="C26" s="4">
        <v>0.24959999999999999</v>
      </c>
      <c r="D26" s="4">
        <v>-8.1810000000000008E-3</v>
      </c>
      <c r="E26" s="4">
        <v>-5.8110000000000002E-2</v>
      </c>
      <c r="F26" s="4">
        <v>-3.7969999999999997E-2</v>
      </c>
      <c r="G26" s="4">
        <v>-2.0129999999999999E-2</v>
      </c>
      <c r="H26" s="4">
        <v>0.31590000000000001</v>
      </c>
      <c r="I26" s="4">
        <v>0.25779999999999997</v>
      </c>
      <c r="J26" s="19">
        <v>550</v>
      </c>
      <c r="K26" s="1"/>
    </row>
    <row r="27" spans="1:11">
      <c r="A27" s="4">
        <v>2</v>
      </c>
      <c r="B27" s="4">
        <v>1</v>
      </c>
      <c r="C27" s="4">
        <v>-3.7330000000000002E-2</v>
      </c>
      <c r="D27" s="4">
        <v>-1.818E-3</v>
      </c>
      <c r="E27" s="4">
        <v>6.3020000000000003E-3</v>
      </c>
      <c r="F27" s="4">
        <v>-9.0460000000000002E-3</v>
      </c>
      <c r="G27" s="4">
        <v>1.5350000000000001E-2</v>
      </c>
      <c r="H27" s="4">
        <v>-4.181E-2</v>
      </c>
      <c r="I27" s="4">
        <v>-3.551E-2</v>
      </c>
      <c r="J27" s="19">
        <v>1100</v>
      </c>
      <c r="K27" s="1"/>
    </row>
    <row r="28" spans="1:11">
      <c r="A28" s="4">
        <v>2</v>
      </c>
      <c r="B28" s="4">
        <v>2</v>
      </c>
      <c r="C28" s="4">
        <v>-4.3700000000000003E-2</v>
      </c>
      <c r="D28" s="4">
        <v>-2.7189999999999999E-2</v>
      </c>
      <c r="E28" s="4">
        <v>-1.6230000000000001E-2</v>
      </c>
      <c r="F28" s="4">
        <v>-2.0590000000000001E-2</v>
      </c>
      <c r="G28" s="4">
        <v>4.3540000000000002E-3</v>
      </c>
      <c r="H28" s="4">
        <v>-2.7920000000000001E-4</v>
      </c>
      <c r="I28" s="4">
        <v>-1.651E-2</v>
      </c>
      <c r="J28" s="19">
        <v>1100</v>
      </c>
      <c r="K28" s="1"/>
    </row>
    <row r="29" spans="1:11">
      <c r="A29" s="4">
        <v>2</v>
      </c>
      <c r="B29" s="4">
        <v>3</v>
      </c>
      <c r="C29" s="4">
        <v>-1.01E-2</v>
      </c>
      <c r="D29" s="4">
        <v>-1.323E-2</v>
      </c>
      <c r="E29" s="4">
        <v>-1.418E-2</v>
      </c>
      <c r="F29" s="4">
        <v>-1.388E-2</v>
      </c>
      <c r="G29" s="4">
        <v>-3.0430000000000002E-4</v>
      </c>
      <c r="H29" s="4">
        <v>1.7309999999999999E-2</v>
      </c>
      <c r="I29" s="4">
        <v>3.1319999999999998E-3</v>
      </c>
      <c r="J29" s="19">
        <v>1600</v>
      </c>
      <c r="K29" s="1"/>
    </row>
    <row r="30" spans="1:11">
      <c r="A30" s="4">
        <v>2</v>
      </c>
      <c r="B30" s="4">
        <v>4</v>
      </c>
      <c r="C30" s="4">
        <v>-2.383E-2</v>
      </c>
      <c r="D30" s="4">
        <v>-1.2200000000000001E-2</v>
      </c>
      <c r="E30" s="4">
        <v>-2.247E-2</v>
      </c>
      <c r="F30" s="4">
        <v>-1.5679999999999999E-2</v>
      </c>
      <c r="G30" s="4">
        <v>-6.783E-3</v>
      </c>
      <c r="H30" s="4">
        <v>1.0829999999999999E-2</v>
      </c>
      <c r="I30" s="4">
        <v>-1.163E-2</v>
      </c>
      <c r="J30" s="19">
        <v>1900</v>
      </c>
      <c r="K30" s="1"/>
    </row>
    <row r="31" spans="1:11">
      <c r="A31" s="4">
        <v>2</v>
      </c>
      <c r="B31" s="4">
        <v>5</v>
      </c>
      <c r="C31" s="4">
        <v>-4.0240000000000001E-5</v>
      </c>
      <c r="D31" s="4">
        <v>-1.417E-2</v>
      </c>
      <c r="E31" s="4">
        <v>-9.8029999999999992E-3</v>
      </c>
      <c r="F31" s="4">
        <v>-2.376E-2</v>
      </c>
      <c r="G31" s="4">
        <v>1.396E-2</v>
      </c>
      <c r="H31" s="4">
        <v>2.393E-2</v>
      </c>
      <c r="I31" s="4">
        <v>1.413E-2</v>
      </c>
      <c r="J31" s="19">
        <v>1600</v>
      </c>
      <c r="K31" s="1"/>
    </row>
    <row r="32" spans="1:11">
      <c r="A32" s="4">
        <v>2</v>
      </c>
      <c r="B32" s="4">
        <v>6</v>
      </c>
      <c r="C32" s="4">
        <v>8.6789999999999992E-3</v>
      </c>
      <c r="D32" s="4">
        <v>-3.0130000000000001E-3</v>
      </c>
      <c r="E32" s="4">
        <v>-1.319E-2</v>
      </c>
      <c r="F32" s="4">
        <v>-2.4670000000000001E-2</v>
      </c>
      <c r="G32" s="4">
        <v>1.1480000000000001E-2</v>
      </c>
      <c r="H32" s="4">
        <v>2.4879999999999999E-2</v>
      </c>
      <c r="I32" s="4">
        <v>1.1690000000000001E-2</v>
      </c>
      <c r="J32" s="19">
        <v>2500</v>
      </c>
      <c r="K32" s="1"/>
    </row>
    <row r="33" spans="1:11">
      <c r="A33" s="4">
        <v>2</v>
      </c>
      <c r="B33" s="4">
        <v>7</v>
      </c>
      <c r="C33" s="4">
        <v>-1.316E-2</v>
      </c>
      <c r="D33" s="4">
        <v>-2.2630000000000001E-2</v>
      </c>
      <c r="E33" s="4">
        <v>-3.0009999999999998E-2</v>
      </c>
      <c r="F33" s="4">
        <v>-3.048E-2</v>
      </c>
      <c r="G33" s="4">
        <v>4.771E-4</v>
      </c>
      <c r="H33" s="4">
        <v>3.9480000000000001E-2</v>
      </c>
      <c r="I33" s="4">
        <v>9.4750000000000008E-3</v>
      </c>
      <c r="J33" s="19">
        <v>950</v>
      </c>
      <c r="K33" s="1"/>
    </row>
    <row r="34" spans="1:11">
      <c r="A34" s="4">
        <v>2</v>
      </c>
      <c r="B34" s="4">
        <v>8</v>
      </c>
      <c r="C34" s="4">
        <v>-3.6949999999999997E-2</v>
      </c>
      <c r="D34" s="4">
        <v>-4.3880000000000002E-2</v>
      </c>
      <c r="E34" s="4">
        <v>-1.393E-2</v>
      </c>
      <c r="F34" s="4">
        <v>-1.6230000000000001E-2</v>
      </c>
      <c r="G34" s="4">
        <v>2.3019999999999998E-3</v>
      </c>
      <c r="H34" s="4">
        <v>2.086E-2</v>
      </c>
      <c r="I34" s="4">
        <v>6.9319999999999998E-3</v>
      </c>
      <c r="J34" s="19">
        <v>1700</v>
      </c>
      <c r="K34" s="1"/>
    </row>
    <row r="35" spans="1:11">
      <c r="A35" s="4">
        <v>2</v>
      </c>
      <c r="B35" s="4">
        <v>9</v>
      </c>
      <c r="C35" s="4">
        <v>-1.192E-2</v>
      </c>
      <c r="D35" s="4">
        <v>-3.4959999999999998E-2</v>
      </c>
      <c r="E35" s="4">
        <v>-4.0099999999999997E-2</v>
      </c>
      <c r="F35" s="4">
        <v>-3.4369999999999998E-2</v>
      </c>
      <c r="G35" s="4">
        <v>-5.7239999999999999E-3</v>
      </c>
      <c r="H35" s="4">
        <v>6.3140000000000002E-2</v>
      </c>
      <c r="I35" s="4">
        <v>2.3040000000000001E-2</v>
      </c>
      <c r="J35" s="19">
        <v>1100</v>
      </c>
      <c r="K35" s="1"/>
    </row>
    <row r="36" spans="1:11">
      <c r="A36" s="4">
        <v>2</v>
      </c>
      <c r="B36" s="4">
        <v>10</v>
      </c>
      <c r="C36" s="4">
        <v>1.059E-2</v>
      </c>
      <c r="D36" s="4">
        <v>-2.0250000000000001E-2</v>
      </c>
      <c r="E36" s="4">
        <v>-1.3169999999999999E-2</v>
      </c>
      <c r="F36" s="4">
        <v>7.3369999999999997E-5</v>
      </c>
      <c r="G36" s="4">
        <v>-1.324E-2</v>
      </c>
      <c r="H36" s="4">
        <v>4.4010000000000001E-2</v>
      </c>
      <c r="I36" s="4">
        <v>3.0839999999999999E-2</v>
      </c>
      <c r="J36" s="19">
        <v>1300</v>
      </c>
      <c r="K36" s="1"/>
    </row>
    <row r="37" spans="1:11">
      <c r="A37" s="4">
        <v>2</v>
      </c>
      <c r="B37" s="4">
        <v>11</v>
      </c>
      <c r="C37" s="4">
        <v>-4.9899999999999999E-4</v>
      </c>
      <c r="D37" s="4">
        <v>-1.7430000000000001E-2</v>
      </c>
      <c r="E37" s="4">
        <v>-6.4049999999999996E-2</v>
      </c>
      <c r="F37" s="4">
        <v>-3.3799999999999997E-2</v>
      </c>
      <c r="G37" s="4">
        <v>-3.0249999999999999E-2</v>
      </c>
      <c r="H37" s="4">
        <v>8.0979999999999996E-2</v>
      </c>
      <c r="I37" s="4">
        <v>1.6930000000000001E-2</v>
      </c>
      <c r="J37" s="19">
        <v>2000</v>
      </c>
      <c r="K37" s="1"/>
    </row>
    <row r="38" spans="1:11">
      <c r="A38" s="4">
        <v>2</v>
      </c>
      <c r="B38" s="4">
        <v>12</v>
      </c>
      <c r="C38" s="4">
        <v>1.822E-2</v>
      </c>
      <c r="D38" s="4">
        <v>-7.1459999999999996E-3</v>
      </c>
      <c r="E38" s="4">
        <v>-2.8899999999999999E-2</v>
      </c>
      <c r="F38" s="4">
        <v>-3.4070000000000003E-2</v>
      </c>
      <c r="G38" s="4">
        <v>5.1679999999999999E-3</v>
      </c>
      <c r="H38" s="4">
        <v>5.4269999999999999E-2</v>
      </c>
      <c r="I38" s="4">
        <v>2.537E-2</v>
      </c>
      <c r="J38" s="19">
        <v>1500</v>
      </c>
      <c r="K38" s="1"/>
    </row>
    <row r="39" spans="1:11">
      <c r="A39" s="4">
        <v>2</v>
      </c>
      <c r="B39" s="4">
        <v>13</v>
      </c>
      <c r="C39" s="4">
        <v>7.953E-3</v>
      </c>
      <c r="D39" s="4">
        <v>-1.9570000000000001E-2</v>
      </c>
      <c r="E39" s="4">
        <v>-4.6730000000000001E-2</v>
      </c>
      <c r="F39" s="4">
        <v>-3.4790000000000001E-2</v>
      </c>
      <c r="G39" s="4">
        <v>-1.1939999999999999E-2</v>
      </c>
      <c r="H39" s="4">
        <v>7.4249999999999997E-2</v>
      </c>
      <c r="I39" s="4">
        <v>2.7519999999999999E-2</v>
      </c>
      <c r="J39" s="19">
        <v>2000</v>
      </c>
      <c r="K39" s="1"/>
    </row>
    <row r="40" spans="1:11">
      <c r="A40" s="4">
        <v>2</v>
      </c>
      <c r="B40" s="4">
        <v>14</v>
      </c>
      <c r="C40" s="4">
        <v>-1.5389999999999999E-2</v>
      </c>
      <c r="D40" s="4">
        <v>-4.4839999999999998E-2</v>
      </c>
      <c r="E40" s="4">
        <v>-4.2020000000000002E-2</v>
      </c>
      <c r="F40" s="4">
        <v>-3.4509999999999999E-2</v>
      </c>
      <c r="G40" s="4">
        <v>-7.5069999999999998E-3</v>
      </c>
      <c r="H40" s="4">
        <v>7.1459999999999996E-2</v>
      </c>
      <c r="I40" s="4">
        <v>2.945E-2</v>
      </c>
      <c r="J40" s="19">
        <v>1400</v>
      </c>
      <c r="K40" s="1"/>
    </row>
    <row r="41" spans="1:11">
      <c r="A41" s="4">
        <v>2</v>
      </c>
      <c r="B41" s="4">
        <v>15</v>
      </c>
      <c r="C41" s="4">
        <v>2.7089999999999999E-2</v>
      </c>
      <c r="D41" s="4">
        <v>-8.8719999999999997E-3</v>
      </c>
      <c r="E41" s="4">
        <v>-5.083E-2</v>
      </c>
      <c r="F41" s="4">
        <v>-3.9780000000000003E-2</v>
      </c>
      <c r="G41" s="4">
        <v>-1.1050000000000001E-2</v>
      </c>
      <c r="H41" s="4">
        <v>8.6790000000000006E-2</v>
      </c>
      <c r="I41" s="4">
        <v>3.5959999999999999E-2</v>
      </c>
      <c r="J41" s="19">
        <v>2100</v>
      </c>
      <c r="K41" s="1"/>
    </row>
    <row r="42" spans="1:11">
      <c r="A42" s="4">
        <v>2</v>
      </c>
      <c r="B42" s="4">
        <v>16</v>
      </c>
      <c r="C42" s="4">
        <v>4.0529999999999997E-2</v>
      </c>
      <c r="D42" s="4">
        <v>-2.521E-2</v>
      </c>
      <c r="E42" s="4">
        <v>-3.4840000000000003E-2</v>
      </c>
      <c r="F42" s="4">
        <v>-3.1919999999999997E-2</v>
      </c>
      <c r="G42" s="4">
        <v>-2.9199999999999999E-3</v>
      </c>
      <c r="H42" s="4">
        <v>0.10059999999999999</v>
      </c>
      <c r="I42" s="4">
        <v>6.5729999999999997E-2</v>
      </c>
      <c r="J42" s="19">
        <v>1300</v>
      </c>
      <c r="K42" s="1"/>
    </row>
    <row r="43" spans="1:11">
      <c r="A43" s="4">
        <v>2</v>
      </c>
      <c r="B43" s="4">
        <v>17</v>
      </c>
      <c r="C43" s="4">
        <v>-5.3790000000000001E-3</v>
      </c>
      <c r="D43" s="4">
        <v>-1.804E-2</v>
      </c>
      <c r="E43" s="4">
        <v>-9.0980000000000005E-2</v>
      </c>
      <c r="F43" s="4">
        <v>-8.1480000000000094E-2</v>
      </c>
      <c r="G43" s="4">
        <v>-9.5029999999999993E-3</v>
      </c>
      <c r="H43" s="4">
        <v>0.1036</v>
      </c>
      <c r="I43" s="4">
        <v>1.2659999999999999E-2</v>
      </c>
      <c r="J43" s="19">
        <v>3600</v>
      </c>
      <c r="K43" s="1"/>
    </row>
    <row r="44" spans="1:11">
      <c r="A44" s="4">
        <v>2</v>
      </c>
      <c r="B44" s="4">
        <v>18</v>
      </c>
      <c r="C44" s="4">
        <v>3.074E-2</v>
      </c>
      <c r="D44" s="4">
        <v>-3.4180000000000002E-2</v>
      </c>
      <c r="E44" s="4">
        <v>-6.019E-2</v>
      </c>
      <c r="F44" s="4">
        <v>-5.5419999999999997E-2</v>
      </c>
      <c r="G44" s="4">
        <v>-4.7670000000000004E-3</v>
      </c>
      <c r="H44" s="4">
        <v>0.12509999999999999</v>
      </c>
      <c r="I44" s="4">
        <v>6.4920000000000005E-2</v>
      </c>
      <c r="J44" s="19">
        <v>3200</v>
      </c>
      <c r="K44" s="1"/>
    </row>
    <row r="45" spans="1:11">
      <c r="A45" s="4">
        <v>2</v>
      </c>
      <c r="B45" s="4">
        <v>19</v>
      </c>
      <c r="C45" s="4">
        <v>8.0490000000000006E-2</v>
      </c>
      <c r="D45" s="4">
        <v>-1.8519999999999998E-2</v>
      </c>
      <c r="E45" s="4">
        <v>-4.4490000000000002E-2</v>
      </c>
      <c r="F45" s="4">
        <v>-4.0730000000000002E-2</v>
      </c>
      <c r="G45" s="4">
        <v>-3.7590000000000002E-3</v>
      </c>
      <c r="H45" s="4">
        <v>0.14349999999999999</v>
      </c>
      <c r="I45" s="4">
        <v>9.9010000000000001E-2</v>
      </c>
      <c r="J45" s="19">
        <v>1600</v>
      </c>
      <c r="K45" s="1"/>
    </row>
    <row r="46" spans="1:11">
      <c r="A46" s="4">
        <v>2</v>
      </c>
      <c r="B46" s="4">
        <v>20</v>
      </c>
      <c r="C46" s="4">
        <v>0.19009999999999999</v>
      </c>
      <c r="D46" s="4">
        <v>-1.3899999999999999E-2</v>
      </c>
      <c r="E46" s="4">
        <v>-4.6149999999999997E-2</v>
      </c>
      <c r="F46" s="4">
        <v>-3.882E-2</v>
      </c>
      <c r="G46" s="4">
        <v>-7.332E-3</v>
      </c>
      <c r="H46" s="4">
        <v>0.25019999999999998</v>
      </c>
      <c r="I46" s="4">
        <v>0.20399999999999999</v>
      </c>
      <c r="J46" s="19">
        <v>1500</v>
      </c>
      <c r="K46" s="1"/>
    </row>
    <row r="47" spans="1:11">
      <c r="A47" s="4">
        <v>3</v>
      </c>
      <c r="B47" s="4">
        <v>1</v>
      </c>
      <c r="C47" s="4">
        <v>-2.913E-2</v>
      </c>
      <c r="D47" s="4">
        <v>-3.0339999999999998E-3</v>
      </c>
      <c r="E47" s="4">
        <v>3.5720000000000002E-2</v>
      </c>
      <c r="F47" s="4">
        <v>9.0600000000000003E-3</v>
      </c>
      <c r="G47" s="4">
        <v>2.666E-2</v>
      </c>
      <c r="H47" s="4">
        <v>-6.1809999999999997E-2</v>
      </c>
      <c r="I47" s="4">
        <v>-2.6089999999999999E-2</v>
      </c>
      <c r="J47" s="19">
        <v>900</v>
      </c>
      <c r="K47" s="1"/>
    </row>
    <row r="48" spans="1:11">
      <c r="A48" s="4">
        <v>3</v>
      </c>
      <c r="B48" s="4">
        <v>2</v>
      </c>
      <c r="C48" s="4">
        <v>-3.7350000000000001E-2</v>
      </c>
      <c r="D48" s="4">
        <v>-1.112E-2</v>
      </c>
      <c r="E48" s="4">
        <v>4.1669999999999997E-3</v>
      </c>
      <c r="F48" s="4">
        <v>1.431E-2</v>
      </c>
      <c r="G48" s="4">
        <v>-1.0149999999999999E-2</v>
      </c>
      <c r="H48" s="4">
        <v>-3.039E-2</v>
      </c>
      <c r="I48" s="4">
        <v>-2.623E-2</v>
      </c>
      <c r="J48" s="19">
        <v>2300</v>
      </c>
      <c r="K48" s="1"/>
    </row>
    <row r="49" spans="1:11">
      <c r="A49" s="4">
        <v>3</v>
      </c>
      <c r="B49" s="4">
        <v>3</v>
      </c>
      <c r="C49" s="4">
        <v>-6.241E-3</v>
      </c>
      <c r="D49" s="4">
        <v>-1.1440000000000001E-2</v>
      </c>
      <c r="E49" s="4">
        <v>4.463E-3</v>
      </c>
      <c r="F49" s="4">
        <v>-1.351E-3</v>
      </c>
      <c r="G49" s="4">
        <v>5.8139999999999997E-3</v>
      </c>
      <c r="H49" s="4">
        <v>7.3340000000000005E-4</v>
      </c>
      <c r="I49" s="4">
        <v>5.1970000000000002E-3</v>
      </c>
      <c r="J49" s="19">
        <v>2300</v>
      </c>
      <c r="K49" s="1"/>
    </row>
    <row r="50" spans="1:11">
      <c r="A50" s="4">
        <v>3</v>
      </c>
      <c r="B50" s="4">
        <v>4</v>
      </c>
      <c r="C50" s="4">
        <v>-2.7179999999999999E-3</v>
      </c>
      <c r="D50" s="4">
        <v>-9.7900000000000001E-3</v>
      </c>
      <c r="E50" s="4">
        <v>-1.3470000000000001E-3</v>
      </c>
      <c r="F50" s="4">
        <v>1.5479999999999999E-3</v>
      </c>
      <c r="G50" s="4">
        <v>-2.8939999999999999E-3</v>
      </c>
      <c r="H50" s="4">
        <v>8.4180000000000001E-3</v>
      </c>
      <c r="I50" s="4">
        <v>7.071E-3</v>
      </c>
      <c r="J50" s="19">
        <v>3700</v>
      </c>
      <c r="K50" s="1"/>
    </row>
    <row r="51" spans="1:11">
      <c r="A51" s="4">
        <v>3</v>
      </c>
      <c r="B51" s="4">
        <v>5</v>
      </c>
      <c r="C51" s="4">
        <v>-1.8960000000000001E-2</v>
      </c>
      <c r="D51" s="4">
        <v>-3.6819999999999999E-2</v>
      </c>
      <c r="E51" s="4">
        <v>7.8810000000000009E-3</v>
      </c>
      <c r="F51" s="4">
        <v>1.2329999999999999E-3</v>
      </c>
      <c r="G51" s="4">
        <v>6.6480000000000003E-3</v>
      </c>
      <c r="H51" s="4">
        <v>9.9819999999999996E-3</v>
      </c>
      <c r="I51" s="4">
        <v>1.7860000000000001E-2</v>
      </c>
      <c r="J51" s="19">
        <v>1600</v>
      </c>
      <c r="K51" s="1"/>
    </row>
    <row r="52" spans="1:11">
      <c r="A52" s="4">
        <v>3</v>
      </c>
      <c r="B52" s="4">
        <v>6</v>
      </c>
      <c r="C52" s="4">
        <v>-2.2499999999999999E-2</v>
      </c>
      <c r="D52" s="4">
        <v>-8.4440000000000001E-3</v>
      </c>
      <c r="E52" s="4">
        <v>-2.3789999999999999E-2</v>
      </c>
      <c r="F52" s="4">
        <v>-3.1050000000000001E-2</v>
      </c>
      <c r="G52" s="4">
        <v>7.2620000000000002E-3</v>
      </c>
      <c r="H52" s="4">
        <v>9.7409999999999997E-3</v>
      </c>
      <c r="I52" s="4">
        <v>-1.405E-2</v>
      </c>
      <c r="J52" s="19">
        <v>2100</v>
      </c>
      <c r="K52" s="1"/>
    </row>
    <row r="53" spans="1:11">
      <c r="A53" s="4">
        <v>3</v>
      </c>
      <c r="B53" s="4">
        <v>7</v>
      </c>
      <c r="C53" s="4">
        <v>-3.6589999999999998E-2</v>
      </c>
      <c r="D53" s="4">
        <v>-4.0469999999999999E-2</v>
      </c>
      <c r="E53" s="4">
        <v>-1.6279999999999999E-2</v>
      </c>
      <c r="F53" s="4">
        <v>-6.692E-3</v>
      </c>
      <c r="G53" s="4">
        <v>-9.59000000000001E-3</v>
      </c>
      <c r="H53" s="4">
        <v>2.0160000000000001E-2</v>
      </c>
      <c r="I53" s="4">
        <v>3.8760000000000001E-3</v>
      </c>
      <c r="J53" s="19">
        <v>2700</v>
      </c>
      <c r="K53" s="1"/>
    </row>
    <row r="54" spans="1:11">
      <c r="A54" s="4">
        <v>3</v>
      </c>
      <c r="B54" s="4">
        <v>8</v>
      </c>
      <c r="C54" s="4">
        <v>6.7400000000000001E-4</v>
      </c>
      <c r="D54" s="4">
        <v>-1.355E-2</v>
      </c>
      <c r="E54" s="4">
        <v>1.5299999999999999E-3</v>
      </c>
      <c r="F54" s="4">
        <v>-1.8970000000000001E-2</v>
      </c>
      <c r="G54" s="4">
        <v>2.0500000000000001E-2</v>
      </c>
      <c r="H54" s="4">
        <v>1.269E-2</v>
      </c>
      <c r="I54" s="4">
        <v>1.422E-2</v>
      </c>
      <c r="J54" s="19">
        <v>3500</v>
      </c>
      <c r="K54" s="1"/>
    </row>
    <row r="55" spans="1:11">
      <c r="A55" s="4">
        <v>3</v>
      </c>
      <c r="B55" s="4">
        <v>9</v>
      </c>
      <c r="C55" s="4">
        <v>1.226E-2</v>
      </c>
      <c r="D55" s="4">
        <v>-1.952E-3</v>
      </c>
      <c r="E55" s="4">
        <v>-1.8350000000000002E-2</v>
      </c>
      <c r="F55" s="4">
        <v>-2.0230000000000001E-2</v>
      </c>
      <c r="G55" s="4">
        <v>1.8829999999999999E-3</v>
      </c>
      <c r="H55" s="4">
        <v>3.2559999999999999E-2</v>
      </c>
      <c r="I55" s="4">
        <v>1.421E-2</v>
      </c>
      <c r="J55" s="19">
        <v>2300</v>
      </c>
      <c r="K55" s="1"/>
    </row>
    <row r="56" spans="1:11">
      <c r="A56" s="4">
        <v>3</v>
      </c>
      <c r="B56" s="4">
        <v>10</v>
      </c>
      <c r="C56" s="4">
        <v>-1.524E-2</v>
      </c>
      <c r="D56" s="4">
        <v>-3.8539999999999998E-2</v>
      </c>
      <c r="E56" s="4">
        <v>-3.8490000000000003E-2</v>
      </c>
      <c r="F56" s="4">
        <v>-1.643E-2</v>
      </c>
      <c r="G56" s="4">
        <v>-2.206E-2</v>
      </c>
      <c r="H56" s="4">
        <v>6.1800000000000001E-2</v>
      </c>
      <c r="I56" s="4">
        <v>2.3310000000000001E-2</v>
      </c>
      <c r="J56" s="19">
        <v>1800</v>
      </c>
      <c r="K56" s="1"/>
    </row>
    <row r="57" spans="1:11">
      <c r="A57" s="4">
        <v>3</v>
      </c>
      <c r="B57" s="4">
        <v>11</v>
      </c>
      <c r="C57" s="4">
        <v>5.5030000000000001E-3</v>
      </c>
      <c r="D57" s="4">
        <v>-1.4760000000000001E-2</v>
      </c>
      <c r="E57" s="4">
        <v>-5.1990000000000001E-2</v>
      </c>
      <c r="F57" s="4">
        <v>-3.4250000000000003E-2</v>
      </c>
      <c r="G57" s="4">
        <v>-1.7749999999999998E-2</v>
      </c>
      <c r="H57" s="4">
        <v>7.2249999999999995E-2</v>
      </c>
      <c r="I57" s="4">
        <v>2.026E-2</v>
      </c>
      <c r="J57" s="19">
        <v>1600</v>
      </c>
      <c r="K57" s="1"/>
    </row>
    <row r="58" spans="1:11">
      <c r="A58" s="4">
        <v>3</v>
      </c>
      <c r="B58" s="4">
        <v>12</v>
      </c>
      <c r="C58" s="4">
        <v>2.197E-2</v>
      </c>
      <c r="D58" s="4">
        <v>7.0740000000000004E-3</v>
      </c>
      <c r="E58" s="4">
        <v>-2.8479999999999998E-2</v>
      </c>
      <c r="F58" s="4">
        <v>-2.6349999999999998E-2</v>
      </c>
      <c r="G58" s="4">
        <v>-2.1359999999999999E-3</v>
      </c>
      <c r="H58" s="4">
        <v>4.3380000000000002E-2</v>
      </c>
      <c r="I58" s="4">
        <v>1.489E-2</v>
      </c>
      <c r="J58" s="19">
        <v>1700</v>
      </c>
      <c r="K58" s="1"/>
    </row>
    <row r="59" spans="1:11">
      <c r="A59" s="4">
        <v>3</v>
      </c>
      <c r="B59" s="4">
        <v>13</v>
      </c>
      <c r="C59" s="4">
        <v>5.4850000000000003E-3</v>
      </c>
      <c r="D59" s="4">
        <v>-3.5990000000000001E-2</v>
      </c>
      <c r="E59" s="4">
        <v>-3.0040000000000001E-2</v>
      </c>
      <c r="F59" s="4">
        <v>-3.0120000000000001E-2</v>
      </c>
      <c r="G59" s="4">
        <v>8.3629999999999997E-5</v>
      </c>
      <c r="H59" s="4">
        <v>7.1510000000000004E-2</v>
      </c>
      <c r="I59" s="4">
        <v>4.147E-2</v>
      </c>
      <c r="J59" s="19">
        <v>2200</v>
      </c>
      <c r="K59" s="1"/>
    </row>
    <row r="60" spans="1:11">
      <c r="A60" s="4">
        <v>3</v>
      </c>
      <c r="B60" s="4">
        <v>14</v>
      </c>
      <c r="C60" s="4">
        <v>3.4909999999999997E-2</v>
      </c>
      <c r="D60" s="4">
        <v>-1.137E-2</v>
      </c>
      <c r="E60" s="4">
        <v>-1.8970000000000001E-2</v>
      </c>
      <c r="F60" s="4">
        <v>-2.674E-2</v>
      </c>
      <c r="G60" s="4">
        <v>7.7710000000000001E-3</v>
      </c>
      <c r="H60" s="4">
        <v>6.5250000000000002E-2</v>
      </c>
      <c r="I60" s="4">
        <v>4.6280000000000002E-2</v>
      </c>
      <c r="J60" s="19">
        <v>2400</v>
      </c>
      <c r="K60" s="1"/>
    </row>
    <row r="61" spans="1:11">
      <c r="A61" s="4">
        <v>3</v>
      </c>
      <c r="B61" s="4">
        <v>15</v>
      </c>
      <c r="C61" s="4">
        <v>3.8059999999999999E-3</v>
      </c>
      <c r="D61" s="4">
        <v>-2.5260000000000001E-2</v>
      </c>
      <c r="E61" s="4">
        <v>-4.3900000000000002E-2</v>
      </c>
      <c r="F61" s="4">
        <v>-3.6580000000000001E-2</v>
      </c>
      <c r="G61" s="4">
        <v>-7.3239999999999998E-3</v>
      </c>
      <c r="H61" s="4">
        <v>7.2959999999999997E-2</v>
      </c>
      <c r="I61" s="4">
        <v>2.9059999999999999E-2</v>
      </c>
      <c r="J61" s="19">
        <v>3400</v>
      </c>
      <c r="K61" s="1"/>
    </row>
    <row r="62" spans="1:11">
      <c r="A62" s="4">
        <v>3</v>
      </c>
      <c r="B62" s="4">
        <v>16</v>
      </c>
      <c r="C62" s="4">
        <v>2.1239999999999998E-2</v>
      </c>
      <c r="D62" s="4">
        <v>-2.9520000000000001E-2</v>
      </c>
      <c r="E62" s="4">
        <v>-2.3689999999999999E-2</v>
      </c>
      <c r="F62" s="4">
        <v>-2.2270000000000002E-2</v>
      </c>
      <c r="G62" s="4">
        <v>-1.415E-3</v>
      </c>
      <c r="H62" s="4">
        <v>7.4450000000000002E-2</v>
      </c>
      <c r="I62" s="4">
        <v>5.0770000000000003E-2</v>
      </c>
      <c r="J62" s="19">
        <v>4200</v>
      </c>
      <c r="K62" s="1"/>
    </row>
    <row r="63" spans="1:11">
      <c r="A63" s="4">
        <v>3</v>
      </c>
      <c r="B63" s="4">
        <v>17</v>
      </c>
      <c r="C63" s="4">
        <v>3.09E-2</v>
      </c>
      <c r="D63" s="4">
        <v>-1.387E-2</v>
      </c>
      <c r="E63" s="4">
        <v>-3.4029999999999998E-2</v>
      </c>
      <c r="F63" s="4">
        <v>-4.2320000000000003E-2</v>
      </c>
      <c r="G63" s="4">
        <v>8.2880000000000002E-3</v>
      </c>
      <c r="H63" s="4">
        <v>7.8799999999999995E-2</v>
      </c>
      <c r="I63" s="4">
        <v>4.4769999999999997E-2</v>
      </c>
      <c r="J63" s="19">
        <v>7400</v>
      </c>
      <c r="K63" s="1"/>
    </row>
    <row r="64" spans="1:11">
      <c r="A64" s="4">
        <v>3</v>
      </c>
      <c r="B64" s="4">
        <v>18</v>
      </c>
      <c r="C64" s="4">
        <v>2.8150000000000001E-2</v>
      </c>
      <c r="D64" s="4">
        <v>-2.4330000000000001E-2</v>
      </c>
      <c r="E64" s="4">
        <v>-4.8509999999999998E-2</v>
      </c>
      <c r="F64" s="4">
        <v>-5.3589999999999999E-2</v>
      </c>
      <c r="G64" s="4">
        <v>5.0759999999999998E-3</v>
      </c>
      <c r="H64" s="4">
        <v>0.10100000000000001</v>
      </c>
      <c r="I64" s="4">
        <v>5.2479999999999999E-2</v>
      </c>
      <c r="J64" s="19">
        <v>4800</v>
      </c>
      <c r="K64" s="1"/>
    </row>
    <row r="65" spans="1:11">
      <c r="A65" s="4">
        <v>3</v>
      </c>
      <c r="B65" s="4">
        <v>19</v>
      </c>
      <c r="C65" s="4">
        <v>4.7919999999999997E-2</v>
      </c>
      <c r="D65" s="4">
        <v>-2.733E-2</v>
      </c>
      <c r="E65" s="4">
        <v>-4.224E-2</v>
      </c>
      <c r="F65" s="4">
        <v>-4.5100000000000001E-2</v>
      </c>
      <c r="G65" s="4">
        <v>2.8579999999999999E-3</v>
      </c>
      <c r="H65" s="4">
        <v>0.11749999999999999</v>
      </c>
      <c r="I65" s="4">
        <v>7.5240000000000001E-2</v>
      </c>
      <c r="J65" s="19">
        <v>5600</v>
      </c>
      <c r="K65" s="1"/>
    </row>
    <row r="66" spans="1:11">
      <c r="A66" s="4">
        <v>3</v>
      </c>
      <c r="B66" s="4">
        <v>20</v>
      </c>
      <c r="C66" s="4">
        <v>0.21260000000000001</v>
      </c>
      <c r="D66" s="4">
        <v>-1.985E-2</v>
      </c>
      <c r="E66" s="4">
        <v>-1.6150000000000001E-2</v>
      </c>
      <c r="F66" s="4">
        <v>-2.4570000000000002E-2</v>
      </c>
      <c r="G66" s="4">
        <v>8.4189999999999994E-3</v>
      </c>
      <c r="H66" s="4">
        <v>0.24859999999999999</v>
      </c>
      <c r="I66" s="4">
        <v>0.2324</v>
      </c>
      <c r="J66" s="19">
        <v>2300</v>
      </c>
      <c r="K66" s="1"/>
    </row>
    <row r="67" spans="1:11">
      <c r="A67" s="4">
        <v>4</v>
      </c>
      <c r="B67" s="4">
        <v>1</v>
      </c>
      <c r="C67" s="4">
        <v>-3.2289999999999999E-2</v>
      </c>
      <c r="D67" s="4">
        <v>-7.5989999999999999E-3</v>
      </c>
      <c r="E67" s="4">
        <v>3.5189999999999999E-2</v>
      </c>
      <c r="F67" s="4">
        <v>2.3199999999999998E-2</v>
      </c>
      <c r="G67" s="4">
        <v>1.1990000000000001E-2</v>
      </c>
      <c r="H67" s="4">
        <v>-5.9880000000000003E-2</v>
      </c>
      <c r="I67" s="4">
        <v>-2.469E-2</v>
      </c>
      <c r="J67" s="19">
        <v>1400</v>
      </c>
      <c r="K67" s="1"/>
    </row>
    <row r="68" spans="1:11">
      <c r="A68" s="4">
        <v>4</v>
      </c>
      <c r="B68" s="4">
        <v>2</v>
      </c>
      <c r="C68" s="4">
        <v>-1.3339999999999999E-2</v>
      </c>
      <c r="D68" s="4">
        <v>-1.2699999999999999E-2</v>
      </c>
      <c r="E68" s="4">
        <v>5.7530000000000003E-3</v>
      </c>
      <c r="F68" s="4">
        <v>-3.6740000000000002E-3</v>
      </c>
      <c r="G68" s="4">
        <v>9.4269999999999996E-3</v>
      </c>
      <c r="H68" s="4">
        <v>-6.4000000000000003E-3</v>
      </c>
      <c r="I68" s="4">
        <v>-6.466E-4</v>
      </c>
      <c r="J68" s="19">
        <v>2100</v>
      </c>
      <c r="K68" s="1"/>
    </row>
    <row r="69" spans="1:11">
      <c r="A69" s="4">
        <v>4</v>
      </c>
      <c r="B69" s="4">
        <v>3</v>
      </c>
      <c r="C69" s="4">
        <v>-6.633E-3</v>
      </c>
      <c r="D69" s="4">
        <v>-2.8570000000000002E-3</v>
      </c>
      <c r="E69" s="4">
        <v>6.2820000000000003E-3</v>
      </c>
      <c r="F69" s="4">
        <v>-6.1739999999999998E-3</v>
      </c>
      <c r="G69" s="4">
        <v>1.2460000000000001E-2</v>
      </c>
      <c r="H69" s="4">
        <v>-1.0059999999999999E-2</v>
      </c>
      <c r="I69" s="4">
        <v>-3.7759999999999998E-3</v>
      </c>
      <c r="J69" s="19">
        <v>3500</v>
      </c>
      <c r="K69" s="1"/>
    </row>
    <row r="70" spans="1:11">
      <c r="A70" s="4">
        <v>4</v>
      </c>
      <c r="B70" s="4">
        <v>4</v>
      </c>
      <c r="C70" s="4">
        <v>-1.6809999999999999E-2</v>
      </c>
      <c r="D70" s="4">
        <v>-1.7979999999999999E-2</v>
      </c>
      <c r="E70" s="4">
        <v>2.9580000000000001E-3</v>
      </c>
      <c r="F70" s="4">
        <v>-4.7169999999999998E-3</v>
      </c>
      <c r="G70" s="4">
        <v>7.6750000000000004E-3</v>
      </c>
      <c r="H70" s="4">
        <v>-1.789E-3</v>
      </c>
      <c r="I70" s="4">
        <v>1.1689999999999999E-3</v>
      </c>
      <c r="J70" s="19">
        <v>1800</v>
      </c>
      <c r="K70" s="1"/>
    </row>
    <row r="71" spans="1:11">
      <c r="A71" s="4">
        <v>4</v>
      </c>
      <c r="B71" s="4">
        <v>5</v>
      </c>
      <c r="C71" s="4">
        <v>3.0219999999999997E-4</v>
      </c>
      <c r="D71" s="4">
        <v>-5.5700000000000003E-3</v>
      </c>
      <c r="E71" s="4">
        <v>2.7360000000000002E-3</v>
      </c>
      <c r="F71" s="4">
        <v>-4.2979999999999997E-3</v>
      </c>
      <c r="G71" s="4">
        <v>7.0330000000000002E-3</v>
      </c>
      <c r="H71" s="4">
        <v>3.1359999999999999E-3</v>
      </c>
      <c r="I71" s="4">
        <v>5.8719999999999996E-3</v>
      </c>
      <c r="J71" s="19">
        <v>2200</v>
      </c>
      <c r="K71" s="1"/>
    </row>
    <row r="72" spans="1:11">
      <c r="A72" s="4">
        <v>4</v>
      </c>
      <c r="B72" s="4">
        <v>6</v>
      </c>
      <c r="C72" s="4">
        <v>-1.3100000000000001E-2</v>
      </c>
      <c r="D72" s="4">
        <v>-1.687E-2</v>
      </c>
      <c r="E72" s="4">
        <v>-1.8970000000000001E-2</v>
      </c>
      <c r="F72" s="4">
        <v>-2.2530000000000001E-2</v>
      </c>
      <c r="G72" s="4">
        <v>3.5609999999999999E-3</v>
      </c>
      <c r="H72" s="4">
        <v>2.2749999999999999E-2</v>
      </c>
      <c r="I72" s="4">
        <v>3.7759999999999998E-3</v>
      </c>
      <c r="J72" s="19">
        <v>4400</v>
      </c>
      <c r="K72" s="1"/>
    </row>
    <row r="73" spans="1:11">
      <c r="A73" s="4">
        <v>4</v>
      </c>
      <c r="B73" s="4">
        <v>7</v>
      </c>
      <c r="C73" s="4">
        <v>-9.2040000000000004E-3</v>
      </c>
      <c r="D73" s="4">
        <v>-8.2920000000000008E-3</v>
      </c>
      <c r="E73" s="4">
        <v>-1.555E-2</v>
      </c>
      <c r="F73" s="4">
        <v>-1.9800000000000002E-2</v>
      </c>
      <c r="G73" s="4">
        <v>4.2459999999999998E-3</v>
      </c>
      <c r="H73" s="4">
        <v>1.464E-2</v>
      </c>
      <c r="I73" s="4">
        <v>-9.121E-4</v>
      </c>
      <c r="J73" s="19">
        <v>2200</v>
      </c>
      <c r="K73" s="1"/>
    </row>
    <row r="74" spans="1:11">
      <c r="A74" s="4">
        <v>4</v>
      </c>
      <c r="B74" s="4">
        <v>8</v>
      </c>
      <c r="C74" s="4">
        <v>-5.2090000000000001E-3</v>
      </c>
      <c r="D74" s="4">
        <v>-7.123E-3</v>
      </c>
      <c r="E74" s="4">
        <v>-8.4239999999999992E-3</v>
      </c>
      <c r="F74" s="4">
        <v>-1.695E-2</v>
      </c>
      <c r="G74" s="4">
        <v>8.5260000000000006E-3</v>
      </c>
      <c r="H74" s="4">
        <v>1.034E-2</v>
      </c>
      <c r="I74" s="4">
        <v>1.915E-3</v>
      </c>
      <c r="J74" s="19">
        <v>4900</v>
      </c>
      <c r="K74" s="1"/>
    </row>
    <row r="75" spans="1:11">
      <c r="A75" s="4">
        <v>4</v>
      </c>
      <c r="B75" s="4">
        <v>9</v>
      </c>
      <c r="C75" s="4">
        <v>-1.1650000000000001E-2</v>
      </c>
      <c r="D75" s="4">
        <v>-1.1939999999999999E-2</v>
      </c>
      <c r="E75" s="4">
        <v>-3.2469999999999999E-2</v>
      </c>
      <c r="F75" s="4">
        <v>-3.0870000000000002E-2</v>
      </c>
      <c r="G75" s="4">
        <v>-1.5920000000000001E-3</v>
      </c>
      <c r="H75" s="4">
        <v>3.2759999999999997E-2</v>
      </c>
      <c r="I75" s="4">
        <v>2.9700000000000001E-4</v>
      </c>
      <c r="J75" s="19">
        <v>3600</v>
      </c>
      <c r="K75" s="1"/>
    </row>
    <row r="76" spans="1:11">
      <c r="A76" s="4">
        <v>4</v>
      </c>
      <c r="B76" s="4">
        <v>10</v>
      </c>
      <c r="C76" s="4">
        <v>1.1220000000000001E-2</v>
      </c>
      <c r="D76" s="4">
        <v>-2.138E-2</v>
      </c>
      <c r="E76" s="4">
        <v>-1.1939999999999999E-2</v>
      </c>
      <c r="F76" s="4">
        <v>-1.44E-2</v>
      </c>
      <c r="G76" s="4">
        <v>2.467E-3</v>
      </c>
      <c r="H76" s="4">
        <v>4.453E-2</v>
      </c>
      <c r="I76" s="4">
        <v>3.2599999999999997E-2</v>
      </c>
      <c r="J76" s="19">
        <v>3400</v>
      </c>
      <c r="K76" s="1"/>
    </row>
    <row r="77" spans="1:11">
      <c r="A77" s="4">
        <v>4</v>
      </c>
      <c r="B77" s="4">
        <v>11</v>
      </c>
      <c r="C77" s="4">
        <v>-9.1509999999999994E-3</v>
      </c>
      <c r="D77" s="4">
        <v>-1.6740000000000001E-2</v>
      </c>
      <c r="E77" s="4">
        <v>-4.879E-2</v>
      </c>
      <c r="F77" s="4">
        <v>-3.3939999999999998E-2</v>
      </c>
      <c r="G77" s="4">
        <v>-1.485E-2</v>
      </c>
      <c r="H77" s="4">
        <v>5.638E-2</v>
      </c>
      <c r="I77" s="4">
        <v>7.5919999999999998E-3</v>
      </c>
      <c r="J77" s="19">
        <v>1500</v>
      </c>
      <c r="K77" s="1"/>
    </row>
    <row r="78" spans="1:11">
      <c r="A78" s="4">
        <v>4</v>
      </c>
      <c r="B78" s="4">
        <v>12</v>
      </c>
      <c r="C78" s="4">
        <v>-5.3269999999999999E-4</v>
      </c>
      <c r="D78" s="4">
        <v>-1.797E-2</v>
      </c>
      <c r="E78" s="4">
        <v>-1.9449999999999999E-2</v>
      </c>
      <c r="F78" s="4">
        <v>-2.24E-2</v>
      </c>
      <c r="G78" s="4">
        <v>2.9499999999999999E-3</v>
      </c>
      <c r="H78" s="4">
        <v>3.6889999999999999E-2</v>
      </c>
      <c r="I78" s="4">
        <v>1.7440000000000001E-2</v>
      </c>
      <c r="J78" s="19">
        <v>4600</v>
      </c>
      <c r="K78" s="1"/>
    </row>
    <row r="79" spans="1:11">
      <c r="A79" s="4">
        <v>4</v>
      </c>
      <c r="B79" s="4">
        <v>13</v>
      </c>
      <c r="C79" s="4">
        <v>1.7319999999999999E-2</v>
      </c>
      <c r="D79" s="4">
        <v>-1.619E-2</v>
      </c>
      <c r="E79" s="4">
        <v>-2.4209999999999999E-2</v>
      </c>
      <c r="F79" s="4">
        <v>-3.1629999999999998E-2</v>
      </c>
      <c r="G79" s="4">
        <v>7.4190000000000002E-3</v>
      </c>
      <c r="H79" s="4">
        <v>5.772E-2</v>
      </c>
      <c r="I79" s="4">
        <v>3.3509999999999998E-2</v>
      </c>
      <c r="J79" s="19">
        <v>8900</v>
      </c>
      <c r="K79" s="1"/>
    </row>
    <row r="80" spans="1:11">
      <c r="A80" s="4">
        <v>4</v>
      </c>
      <c r="B80" s="4">
        <v>14</v>
      </c>
      <c r="C80" s="4">
        <v>1.4409999999999999E-2</v>
      </c>
      <c r="D80" s="4">
        <v>-1.7420000000000001E-2</v>
      </c>
      <c r="E80" s="4">
        <v>-3.6519999999999997E-2</v>
      </c>
      <c r="F80" s="4">
        <v>-3.5349999999999999E-2</v>
      </c>
      <c r="G80" s="4">
        <v>-1.168E-3</v>
      </c>
      <c r="H80" s="4">
        <v>6.8339999999999998E-2</v>
      </c>
      <c r="I80" s="4">
        <v>3.1829999999999997E-2</v>
      </c>
      <c r="J80" s="19">
        <v>9500</v>
      </c>
      <c r="K80" s="1"/>
    </row>
    <row r="81" spans="1:11">
      <c r="A81" s="4">
        <v>4</v>
      </c>
      <c r="B81" s="4">
        <v>15</v>
      </c>
      <c r="C81" s="4">
        <v>1.259E-2</v>
      </c>
      <c r="D81" s="4">
        <v>-1.839E-2</v>
      </c>
      <c r="E81" s="4">
        <v>-2.9600000000000001E-2</v>
      </c>
      <c r="F81" s="4">
        <v>-4.0030000000000003E-2</v>
      </c>
      <c r="G81" s="4">
        <v>1.043E-2</v>
      </c>
      <c r="H81" s="4">
        <v>6.0580000000000002E-2</v>
      </c>
      <c r="I81" s="4">
        <v>3.0980000000000001E-2</v>
      </c>
      <c r="J81" s="19">
        <v>3100</v>
      </c>
      <c r="K81" s="1"/>
    </row>
    <row r="82" spans="1:11">
      <c r="A82" s="4">
        <v>4</v>
      </c>
      <c r="B82" s="4">
        <v>16</v>
      </c>
      <c r="C82" s="4">
        <v>3.8510000000000003E-2</v>
      </c>
      <c r="D82" s="4">
        <v>-1.627E-2</v>
      </c>
      <c r="E82" s="4">
        <v>-2.929E-2</v>
      </c>
      <c r="F82" s="4">
        <v>-2.6849999999999999E-2</v>
      </c>
      <c r="G82" s="4">
        <v>-2.4399999999999999E-3</v>
      </c>
      <c r="H82" s="4">
        <v>8.4070000000000006E-2</v>
      </c>
      <c r="I82" s="4">
        <v>5.4780000000000002E-2</v>
      </c>
      <c r="J82" s="19">
        <v>3600</v>
      </c>
      <c r="K82" s="1"/>
    </row>
    <row r="83" spans="1:11">
      <c r="A83" s="4">
        <v>4</v>
      </c>
      <c r="B83" s="4">
        <v>17</v>
      </c>
      <c r="C83" s="4">
        <v>1.2279999999999999E-2</v>
      </c>
      <c r="D83" s="4">
        <v>-1.7069999999999998E-2</v>
      </c>
      <c r="E83" s="4">
        <v>-6.2729999999999994E-2</v>
      </c>
      <c r="F83" s="4">
        <v>-6.1629999999999997E-2</v>
      </c>
      <c r="G83" s="4">
        <v>-1.098E-3</v>
      </c>
      <c r="H83" s="4">
        <v>9.2079999999999995E-2</v>
      </c>
      <c r="I83" s="4">
        <v>2.9350000000000001E-2</v>
      </c>
      <c r="J83" s="19">
        <v>6700</v>
      </c>
      <c r="K83" s="1"/>
    </row>
    <row r="84" spans="1:11">
      <c r="A84" s="4">
        <v>4</v>
      </c>
      <c r="B84" s="4">
        <v>18</v>
      </c>
      <c r="C84" s="4">
        <v>3.2620000000000003E-2</v>
      </c>
      <c r="D84" s="4">
        <v>-2.496E-2</v>
      </c>
      <c r="E84" s="4">
        <v>-4.8129999999999999E-2</v>
      </c>
      <c r="F84" s="4">
        <v>-4.8129999999999999E-2</v>
      </c>
      <c r="G84" s="4">
        <v>-4.0770000000000001E-6</v>
      </c>
      <c r="H84" s="4">
        <v>0.1057</v>
      </c>
      <c r="I84" s="4">
        <v>5.7579999999999999E-2</v>
      </c>
      <c r="J84" s="19">
        <v>6100</v>
      </c>
      <c r="K84" s="1"/>
    </row>
    <row r="85" spans="1:11">
      <c r="A85" s="4">
        <v>4</v>
      </c>
      <c r="B85" s="4">
        <v>19</v>
      </c>
      <c r="C85" s="4">
        <v>5.3699999999999998E-2</v>
      </c>
      <c r="D85" s="4">
        <v>-1.521E-2</v>
      </c>
      <c r="E85" s="4">
        <v>-5.7000000000000002E-2</v>
      </c>
      <c r="F85" s="4">
        <v>-5.3539999999999997E-2</v>
      </c>
      <c r="G85" s="4">
        <v>-3.4510000000000001E-3</v>
      </c>
      <c r="H85" s="4">
        <v>0.12590000000000001</v>
      </c>
      <c r="I85" s="4">
        <v>6.8909999999999999E-2</v>
      </c>
      <c r="J85" s="19">
        <v>5500</v>
      </c>
      <c r="K85" s="1"/>
    </row>
    <row r="86" spans="1:11">
      <c r="A86" s="4">
        <v>4</v>
      </c>
      <c r="B86" s="4">
        <v>20</v>
      </c>
      <c r="C86" s="4">
        <v>0.1638</v>
      </c>
      <c r="D86" s="4">
        <v>-2.4680000000000001E-2</v>
      </c>
      <c r="E86" s="4">
        <v>-4.3319999999999997E-2</v>
      </c>
      <c r="F86" s="4">
        <v>-3.6819999999999999E-2</v>
      </c>
      <c r="G86" s="4">
        <v>-6.5069999999999998E-3</v>
      </c>
      <c r="H86" s="4">
        <v>0.23180000000000001</v>
      </c>
      <c r="I86" s="4">
        <v>0.1885</v>
      </c>
      <c r="J86" s="19">
        <v>2700</v>
      </c>
      <c r="K86" s="1"/>
    </row>
    <row r="87" spans="1:11">
      <c r="A87" s="4">
        <v>5</v>
      </c>
      <c r="B87" s="4">
        <v>1</v>
      </c>
      <c r="C87" s="4">
        <v>-4.5220000000000003E-2</v>
      </c>
      <c r="D87" s="4">
        <v>1.372E-3</v>
      </c>
      <c r="E87" s="4">
        <v>1.094E-2</v>
      </c>
      <c r="F87" s="4">
        <v>-2.9910000000000002E-3</v>
      </c>
      <c r="G87" s="4">
        <v>1.393E-2</v>
      </c>
      <c r="H87" s="4">
        <v>-5.7529999999999998E-2</v>
      </c>
      <c r="I87" s="4">
        <v>-4.6589999999999999E-2</v>
      </c>
      <c r="J87" s="19">
        <v>1200</v>
      </c>
      <c r="K87" s="1"/>
    </row>
    <row r="88" spans="1:11">
      <c r="A88" s="4">
        <v>5</v>
      </c>
      <c r="B88" s="4">
        <v>2</v>
      </c>
      <c r="C88" s="4">
        <v>-2.767E-2</v>
      </c>
      <c r="D88" s="4">
        <v>-1.4200000000000001E-2</v>
      </c>
      <c r="E88" s="4">
        <v>9.7330000000000003E-3</v>
      </c>
      <c r="F88" s="4">
        <v>7.5339999999999999E-3</v>
      </c>
      <c r="G88" s="4">
        <v>2.1979999999999999E-3</v>
      </c>
      <c r="H88" s="4">
        <v>-2.3189999999999999E-2</v>
      </c>
      <c r="I88" s="4">
        <v>-1.346E-2</v>
      </c>
      <c r="J88" s="19">
        <v>1500</v>
      </c>
      <c r="K88" s="1"/>
    </row>
    <row r="89" spans="1:11">
      <c r="A89" s="4">
        <v>5</v>
      </c>
      <c r="B89" s="4">
        <v>3</v>
      </c>
      <c r="C89" s="4">
        <v>-1.635E-2</v>
      </c>
      <c r="D89" s="4">
        <v>-1.1440000000000001E-2</v>
      </c>
      <c r="E89" s="4">
        <v>9.6889999999999997E-3</v>
      </c>
      <c r="F89" s="4">
        <v>-2.288E-4</v>
      </c>
      <c r="G89" s="4">
        <v>9.9179999999999997E-3</v>
      </c>
      <c r="H89" s="4">
        <v>-1.4590000000000001E-2</v>
      </c>
      <c r="I89" s="4">
        <v>-4.9040000000000004E-3</v>
      </c>
      <c r="J89" s="19">
        <v>1600</v>
      </c>
      <c r="K89" s="1"/>
    </row>
    <row r="90" spans="1:11">
      <c r="A90" s="4">
        <v>5</v>
      </c>
      <c r="B90" s="4">
        <v>4</v>
      </c>
      <c r="C90" s="4">
        <v>-1.822E-2</v>
      </c>
      <c r="D90" s="4">
        <v>-1.5310000000000001E-2</v>
      </c>
      <c r="E90" s="4">
        <v>8.518E-4</v>
      </c>
      <c r="F90" s="4">
        <v>-3.0850000000000001E-3</v>
      </c>
      <c r="G90" s="4">
        <v>3.9370000000000004E-3</v>
      </c>
      <c r="H90" s="4">
        <v>-3.7650000000000001E-3</v>
      </c>
      <c r="I90" s="4">
        <v>-2.9129999999999998E-3</v>
      </c>
      <c r="J90" s="19">
        <v>2100</v>
      </c>
      <c r="K90" s="1"/>
    </row>
    <row r="91" spans="1:11">
      <c r="A91" s="4">
        <v>5</v>
      </c>
      <c r="B91" s="4">
        <v>5</v>
      </c>
      <c r="C91" s="4">
        <v>-1.3270000000000001E-2</v>
      </c>
      <c r="D91" s="4">
        <v>-1.857E-2</v>
      </c>
      <c r="E91" s="4">
        <v>6.6109999999999997E-3</v>
      </c>
      <c r="F91" s="4">
        <v>2.8310000000000002E-3</v>
      </c>
      <c r="G91" s="4">
        <v>3.7799999999999999E-3</v>
      </c>
      <c r="H91" s="4">
        <v>-1.3110000000000001E-3</v>
      </c>
      <c r="I91" s="4">
        <v>5.3E-3</v>
      </c>
      <c r="J91" s="19">
        <v>2900</v>
      </c>
      <c r="K91" s="1"/>
    </row>
    <row r="92" spans="1:11">
      <c r="A92" s="4">
        <v>5</v>
      </c>
      <c r="B92" s="4">
        <v>6</v>
      </c>
      <c r="C92" s="4">
        <v>-2.3630000000000001E-3</v>
      </c>
      <c r="D92" s="4">
        <v>-1.0710000000000001E-2</v>
      </c>
      <c r="E92" s="4">
        <v>2.5159999999999998E-2</v>
      </c>
      <c r="F92" s="4">
        <v>-4.3709999999999999E-3</v>
      </c>
      <c r="G92" s="4">
        <v>2.9530000000000001E-2</v>
      </c>
      <c r="H92" s="4">
        <v>-1.6820000000000002E-2</v>
      </c>
      <c r="I92" s="4">
        <v>8.3440000000000007E-3</v>
      </c>
      <c r="J92" s="19">
        <v>2800</v>
      </c>
      <c r="K92" s="1"/>
    </row>
    <row r="93" spans="1:11">
      <c r="A93" s="4">
        <v>5</v>
      </c>
      <c r="B93" s="4">
        <v>7</v>
      </c>
      <c r="C93" s="4">
        <v>5.2729999999999999E-3</v>
      </c>
      <c r="D93" s="4">
        <v>-5.3759999999999997E-3</v>
      </c>
      <c r="E93" s="4">
        <v>1.438E-2</v>
      </c>
      <c r="F93" s="4">
        <v>-5.4279999999999997E-3</v>
      </c>
      <c r="G93" s="4">
        <v>1.9810000000000001E-2</v>
      </c>
      <c r="H93" s="4">
        <v>-3.7290000000000001E-3</v>
      </c>
      <c r="I93" s="4">
        <v>1.065E-2</v>
      </c>
      <c r="J93" s="19">
        <v>3000</v>
      </c>
      <c r="K93" s="1"/>
    </row>
    <row r="94" spans="1:11">
      <c r="A94" s="4">
        <v>5</v>
      </c>
      <c r="B94" s="4">
        <v>8</v>
      </c>
      <c r="C94" s="4">
        <v>-2.9450000000000001E-3</v>
      </c>
      <c r="D94" s="4">
        <v>-1.2030000000000001E-2</v>
      </c>
      <c r="E94" s="4">
        <v>-1.308E-2</v>
      </c>
      <c r="F94" s="4">
        <v>-2.4629999999999999E-2</v>
      </c>
      <c r="G94" s="4">
        <v>1.155E-2</v>
      </c>
      <c r="H94" s="4">
        <v>2.2159999999999999E-2</v>
      </c>
      <c r="I94" s="4">
        <v>9.0869999999999996E-3</v>
      </c>
      <c r="J94" s="19">
        <v>2100</v>
      </c>
      <c r="K94" s="1"/>
    </row>
    <row r="95" spans="1:11">
      <c r="A95" s="4">
        <v>5</v>
      </c>
      <c r="B95" s="4">
        <v>9</v>
      </c>
      <c r="C95" s="4">
        <v>-8.4519999999999994E-3</v>
      </c>
      <c r="D95" s="4">
        <v>-1.306E-2</v>
      </c>
      <c r="E95" s="4">
        <v>-7.1199999999999996E-3</v>
      </c>
      <c r="F95" s="4">
        <v>-2.0590000000000001E-2</v>
      </c>
      <c r="G95" s="4">
        <v>1.3469999999999999E-2</v>
      </c>
      <c r="H95" s="4">
        <v>1.1730000000000001E-2</v>
      </c>
      <c r="I95" s="4">
        <v>4.607E-3</v>
      </c>
      <c r="J95" s="19">
        <v>2000</v>
      </c>
      <c r="K95" s="1"/>
    </row>
    <row r="96" spans="1:11">
      <c r="A96" s="4">
        <v>5</v>
      </c>
      <c r="B96" s="4">
        <v>10</v>
      </c>
      <c r="C96" s="4">
        <v>1.439E-2</v>
      </c>
      <c r="D96" s="4">
        <v>-1.384E-2</v>
      </c>
      <c r="E96" s="4">
        <v>2.8140000000000001E-3</v>
      </c>
      <c r="F96" s="4">
        <v>-7.9459999999999999E-3</v>
      </c>
      <c r="G96" s="4">
        <v>1.076E-2</v>
      </c>
      <c r="H96" s="4">
        <v>2.5420000000000002E-2</v>
      </c>
      <c r="I96" s="4">
        <v>2.8230000000000002E-2</v>
      </c>
      <c r="J96" s="19">
        <v>2600</v>
      </c>
      <c r="K96" s="1"/>
    </row>
    <row r="97" spans="1:11">
      <c r="A97" s="4">
        <v>5</v>
      </c>
      <c r="B97" s="4">
        <v>11</v>
      </c>
      <c r="C97" s="4">
        <v>1.8489999999999999E-2</v>
      </c>
      <c r="D97" s="4">
        <v>-1.444E-2</v>
      </c>
      <c r="E97" s="4">
        <v>-6.9499999999999996E-3</v>
      </c>
      <c r="F97" s="4">
        <v>-9.1529999999999997E-3</v>
      </c>
      <c r="G97" s="4">
        <v>2.2030000000000001E-3</v>
      </c>
      <c r="H97" s="4">
        <v>3.9870000000000003E-2</v>
      </c>
      <c r="I97" s="4">
        <v>3.2919999999999998E-2</v>
      </c>
      <c r="J97" s="19">
        <v>3600</v>
      </c>
      <c r="K97" s="1"/>
    </row>
    <row r="98" spans="1:11">
      <c r="A98" s="4">
        <v>5</v>
      </c>
      <c r="B98" s="4">
        <v>12</v>
      </c>
      <c r="C98" s="4">
        <v>-2.6250000000000002E-3</v>
      </c>
      <c r="D98" s="4">
        <v>-2.112E-2</v>
      </c>
      <c r="E98" s="4">
        <v>-7.4279999999999997E-3</v>
      </c>
      <c r="F98" s="4">
        <v>-4.4479999999999997E-3</v>
      </c>
      <c r="G98" s="4">
        <v>-2.98E-3</v>
      </c>
      <c r="H98" s="4">
        <v>2.5919999999999999E-2</v>
      </c>
      <c r="I98" s="4">
        <v>1.8489999999999999E-2</v>
      </c>
      <c r="J98" s="19">
        <v>6800</v>
      </c>
      <c r="K98" s="1"/>
    </row>
    <row r="99" spans="1:11">
      <c r="A99" s="4">
        <v>5</v>
      </c>
      <c r="B99" s="4">
        <v>13</v>
      </c>
      <c r="C99" s="4">
        <v>-5.3470000000000002E-3</v>
      </c>
      <c r="D99" s="4">
        <v>-2.1659999999999999E-2</v>
      </c>
      <c r="E99" s="4">
        <v>-1.813E-2</v>
      </c>
      <c r="F99" s="4">
        <v>-2.0480000000000002E-2</v>
      </c>
      <c r="G99" s="4">
        <v>2.3530000000000001E-3</v>
      </c>
      <c r="H99" s="4">
        <v>3.4439999999999998E-2</v>
      </c>
      <c r="I99" s="4">
        <v>1.6310000000000002E-2</v>
      </c>
      <c r="J99" s="19">
        <v>2500</v>
      </c>
      <c r="K99" s="1"/>
    </row>
    <row r="100" spans="1:11">
      <c r="A100" s="4">
        <v>5</v>
      </c>
      <c r="B100" s="4">
        <v>14</v>
      </c>
      <c r="C100" s="4">
        <v>1.6719999999999999E-2</v>
      </c>
      <c r="D100" s="4">
        <v>-1.478E-2</v>
      </c>
      <c r="E100" s="4">
        <v>-1.417E-2</v>
      </c>
      <c r="F100" s="4">
        <v>-2.426E-2</v>
      </c>
      <c r="G100" s="4">
        <v>1.01E-2</v>
      </c>
      <c r="H100" s="4">
        <v>4.5670000000000002E-2</v>
      </c>
      <c r="I100" s="4">
        <v>3.1510000000000003E-2</v>
      </c>
      <c r="J100" s="19">
        <v>7500</v>
      </c>
      <c r="K100" s="1"/>
    </row>
    <row r="101" spans="1:11">
      <c r="A101" s="4">
        <v>5</v>
      </c>
      <c r="B101" s="4">
        <v>15</v>
      </c>
      <c r="C101" s="4">
        <v>7.633E-3</v>
      </c>
      <c r="D101" s="4">
        <v>-1.485E-2</v>
      </c>
      <c r="E101" s="4">
        <v>3.0630000000000002E-3</v>
      </c>
      <c r="F101" s="4">
        <v>-1.7260000000000001E-2</v>
      </c>
      <c r="G101" s="4">
        <v>2.0330000000000001E-2</v>
      </c>
      <c r="H101" s="4">
        <v>1.942E-2</v>
      </c>
      <c r="I101" s="4">
        <v>2.249E-2</v>
      </c>
      <c r="J101" s="19">
        <v>6100</v>
      </c>
      <c r="K101" s="1"/>
    </row>
    <row r="102" spans="1:11">
      <c r="A102" s="4">
        <v>5</v>
      </c>
      <c r="B102" s="4">
        <v>16</v>
      </c>
      <c r="C102" s="4">
        <v>2.5010000000000001E-2</v>
      </c>
      <c r="D102" s="4">
        <v>-1.559E-2</v>
      </c>
      <c r="E102" s="4">
        <v>-2.5420000000000002E-2</v>
      </c>
      <c r="F102" s="4">
        <v>-2.767E-2</v>
      </c>
      <c r="G102" s="4">
        <v>2.251E-3</v>
      </c>
      <c r="H102" s="4">
        <v>6.6019999999999995E-2</v>
      </c>
      <c r="I102" s="4">
        <v>4.0599999999999997E-2</v>
      </c>
      <c r="J102" s="19">
        <v>4100</v>
      </c>
      <c r="K102" s="1"/>
    </row>
    <row r="103" spans="1:11">
      <c r="A103" s="4">
        <v>5</v>
      </c>
      <c r="B103" s="4">
        <v>17</v>
      </c>
      <c r="C103" s="4">
        <v>1.652E-2</v>
      </c>
      <c r="D103" s="4">
        <v>-2.7650000000000001E-2</v>
      </c>
      <c r="E103" s="4">
        <v>-1.345E-2</v>
      </c>
      <c r="F103" s="4">
        <v>-2.6970000000000001E-2</v>
      </c>
      <c r="G103" s="4">
        <v>1.3520000000000001E-2</v>
      </c>
      <c r="H103" s="4">
        <v>5.7619999999999998E-2</v>
      </c>
      <c r="I103" s="4">
        <v>4.4170000000000001E-2</v>
      </c>
      <c r="J103" s="19">
        <v>7500</v>
      </c>
      <c r="K103" s="1"/>
    </row>
    <row r="104" spans="1:11">
      <c r="A104" s="4">
        <v>5</v>
      </c>
      <c r="B104" s="4">
        <v>18</v>
      </c>
      <c r="C104" s="4">
        <v>4.376E-2</v>
      </c>
      <c r="D104" s="4">
        <v>-1.4149999999999999E-2</v>
      </c>
      <c r="E104" s="4">
        <v>-1.452E-2</v>
      </c>
      <c r="F104" s="4">
        <v>-2.6440000000000002E-2</v>
      </c>
      <c r="G104" s="4">
        <v>1.191E-2</v>
      </c>
      <c r="H104" s="4">
        <v>7.2429999999999994E-2</v>
      </c>
      <c r="I104" s="4">
        <v>5.7910000000000003E-2</v>
      </c>
      <c r="J104" s="19">
        <v>4900</v>
      </c>
      <c r="K104" s="1"/>
    </row>
    <row r="105" spans="1:11">
      <c r="A105" s="4">
        <v>5</v>
      </c>
      <c r="B105" s="4">
        <v>19</v>
      </c>
      <c r="C105" s="4">
        <v>6.2509999999999996E-2</v>
      </c>
      <c r="D105" s="4">
        <v>-2.4760000000000001E-2</v>
      </c>
      <c r="E105" s="4">
        <v>-3.85E-2</v>
      </c>
      <c r="F105" s="4">
        <v>-3.8769999999999999E-2</v>
      </c>
      <c r="G105" s="4">
        <v>2.7040000000000001E-4</v>
      </c>
      <c r="H105" s="4">
        <v>0.1258</v>
      </c>
      <c r="I105" s="4">
        <v>8.727E-2</v>
      </c>
      <c r="J105" s="19">
        <v>6400</v>
      </c>
      <c r="K105" s="1"/>
    </row>
    <row r="106" spans="1:11">
      <c r="A106" s="4">
        <v>5</v>
      </c>
      <c r="B106" s="4">
        <v>20</v>
      </c>
      <c r="C106" s="4">
        <v>0.1394</v>
      </c>
      <c r="D106" s="4">
        <v>-2.87E-2</v>
      </c>
      <c r="E106" s="4">
        <v>-4.1939999999999998E-2</v>
      </c>
      <c r="F106" s="4">
        <v>-4.0469999999999999E-2</v>
      </c>
      <c r="G106" s="4">
        <v>-1.4729999999999999E-3</v>
      </c>
      <c r="H106" s="4">
        <v>0.21</v>
      </c>
      <c r="I106" s="4">
        <v>0.1681</v>
      </c>
      <c r="J106" s="19">
        <v>3800</v>
      </c>
      <c r="K106" s="1"/>
    </row>
    <row r="107" spans="1:11">
      <c r="A107" s="4">
        <v>6</v>
      </c>
      <c r="B107" s="4">
        <v>1</v>
      </c>
      <c r="C107" s="4">
        <v>-6.5009999999999998E-2</v>
      </c>
      <c r="D107" s="4">
        <v>-2.318E-4</v>
      </c>
      <c r="E107" s="4">
        <v>1.7780000000000001E-2</v>
      </c>
      <c r="F107" s="4">
        <v>6.0320000000000003E-4</v>
      </c>
      <c r="G107" s="4">
        <v>1.7180000000000001E-2</v>
      </c>
      <c r="H107" s="4">
        <v>-8.2549999999999998E-2</v>
      </c>
      <c r="I107" s="4">
        <v>-6.4769999999999994E-2</v>
      </c>
      <c r="J107" s="19">
        <v>650</v>
      </c>
      <c r="K107" s="1"/>
    </row>
    <row r="108" spans="1:11">
      <c r="A108" s="4">
        <v>6</v>
      </c>
      <c r="B108" s="4">
        <v>2</v>
      </c>
      <c r="C108" s="4">
        <v>-1.7850000000000001E-2</v>
      </c>
      <c r="D108" s="4">
        <v>2.2079999999999999E-3</v>
      </c>
      <c r="E108" s="4">
        <v>2.9940000000000001E-3</v>
      </c>
      <c r="F108" s="4">
        <v>2.3140000000000001E-3</v>
      </c>
      <c r="G108" s="4">
        <v>6.7949999999999998E-4</v>
      </c>
      <c r="H108" s="4">
        <v>-2.3050000000000001E-2</v>
      </c>
      <c r="I108" s="4">
        <v>-2.0060000000000001E-2</v>
      </c>
      <c r="J108" s="19">
        <v>2400</v>
      </c>
      <c r="K108" s="1"/>
    </row>
    <row r="109" spans="1:11">
      <c r="A109" s="4">
        <v>6</v>
      </c>
      <c r="B109" s="4">
        <v>3</v>
      </c>
      <c r="C109" s="4">
        <v>-1.8159999999999999E-2</v>
      </c>
      <c r="D109" s="4">
        <v>-1.167E-2</v>
      </c>
      <c r="E109" s="4">
        <v>2.869E-3</v>
      </c>
      <c r="F109" s="4">
        <v>8.633E-4</v>
      </c>
      <c r="G109" s="4">
        <v>2.0049999999999998E-3</v>
      </c>
      <c r="H109" s="4">
        <v>-9.3570000000000007E-3</v>
      </c>
      <c r="I109" s="4">
        <v>-6.489E-3</v>
      </c>
      <c r="J109" s="19">
        <v>2100</v>
      </c>
      <c r="K109" s="1"/>
    </row>
    <row r="110" spans="1:11">
      <c r="A110" s="4">
        <v>6</v>
      </c>
      <c r="B110" s="4">
        <v>4</v>
      </c>
      <c r="C110" s="4">
        <v>-1.323E-2</v>
      </c>
      <c r="D110" s="4">
        <v>-4.0200000000000001E-3</v>
      </c>
      <c r="E110" s="4">
        <v>1.481E-2</v>
      </c>
      <c r="F110" s="4">
        <v>-2.4620000000000002E-3</v>
      </c>
      <c r="G110" s="4">
        <v>1.728E-2</v>
      </c>
      <c r="H110" s="4">
        <v>-2.402E-2</v>
      </c>
      <c r="I110" s="4">
        <v>-9.2090000000000002E-3</v>
      </c>
      <c r="J110" s="19">
        <v>4400</v>
      </c>
      <c r="K110" s="1"/>
    </row>
    <row r="111" spans="1:11">
      <c r="A111" s="4">
        <v>6</v>
      </c>
      <c r="B111" s="4">
        <v>5</v>
      </c>
      <c r="C111" s="4">
        <v>8.201E-3</v>
      </c>
      <c r="D111" s="4">
        <v>-1.504E-2</v>
      </c>
      <c r="E111" s="4">
        <v>1.7979999999999999E-3</v>
      </c>
      <c r="F111" s="4">
        <v>-1.109E-3</v>
      </c>
      <c r="G111" s="4">
        <v>2.9060000000000002E-3</v>
      </c>
      <c r="H111" s="4">
        <v>2.1440000000000001E-2</v>
      </c>
      <c r="I111" s="4">
        <v>2.324E-2</v>
      </c>
      <c r="J111" s="19">
        <v>2700</v>
      </c>
      <c r="K111" s="1"/>
    </row>
    <row r="112" spans="1:11">
      <c r="A112" s="4">
        <v>6</v>
      </c>
      <c r="B112" s="4">
        <v>6</v>
      </c>
      <c r="C112" s="4">
        <v>-1.1180000000000001E-2</v>
      </c>
      <c r="D112" s="4">
        <v>-1.576E-2</v>
      </c>
      <c r="E112" s="4">
        <v>4.1809999999999998E-3</v>
      </c>
      <c r="F112" s="4">
        <v>-5.6950000000000004E-3</v>
      </c>
      <c r="G112" s="4">
        <v>9.8759999999999994E-3</v>
      </c>
      <c r="H112" s="4">
        <v>4.0190000000000001E-4</v>
      </c>
      <c r="I112" s="4">
        <v>4.5830000000000003E-3</v>
      </c>
      <c r="J112" s="19">
        <v>2700</v>
      </c>
      <c r="K112" s="1"/>
    </row>
    <row r="113" spans="1:11">
      <c r="A113" s="4">
        <v>6</v>
      </c>
      <c r="B113" s="4">
        <v>7</v>
      </c>
      <c r="C113" s="4">
        <v>3.8869999999999998E-3</v>
      </c>
      <c r="D113" s="4">
        <v>2.879E-3</v>
      </c>
      <c r="E113" s="4">
        <v>-1.1939999999999999E-2</v>
      </c>
      <c r="F113" s="4">
        <v>-5.7840000000000001E-3</v>
      </c>
      <c r="G113" s="4">
        <v>-6.1580000000000003E-3</v>
      </c>
      <c r="H113" s="4">
        <v>1.295E-2</v>
      </c>
      <c r="I113" s="4">
        <v>1.008E-3</v>
      </c>
      <c r="J113" s="19">
        <v>2200</v>
      </c>
      <c r="K113" s="1"/>
    </row>
    <row r="114" spans="1:11">
      <c r="A114" s="4">
        <v>6</v>
      </c>
      <c r="B114" s="4">
        <v>8</v>
      </c>
      <c r="C114" s="4">
        <v>-2.3939999999999999E-3</v>
      </c>
      <c r="D114" s="4">
        <v>-1.0970000000000001E-2</v>
      </c>
      <c r="E114" s="4">
        <v>6.0660000000000002E-3</v>
      </c>
      <c r="F114" s="4">
        <v>-1.8680000000000001E-3</v>
      </c>
      <c r="G114" s="4">
        <v>7.9340000000000001E-3</v>
      </c>
      <c r="H114" s="4">
        <v>2.5110000000000002E-3</v>
      </c>
      <c r="I114" s="4">
        <v>8.5769999999999996E-3</v>
      </c>
      <c r="J114" s="19">
        <v>3300</v>
      </c>
      <c r="K114" s="1"/>
    </row>
    <row r="115" spans="1:11">
      <c r="A115" s="4">
        <v>6</v>
      </c>
      <c r="B115" s="4">
        <v>9</v>
      </c>
      <c r="C115" s="4">
        <v>-9.9750000000000099E-3</v>
      </c>
      <c r="D115" s="4">
        <v>-1.4149999999999999E-2</v>
      </c>
      <c r="E115" s="4">
        <v>-1.193E-2</v>
      </c>
      <c r="F115" s="4">
        <v>-1.157E-2</v>
      </c>
      <c r="G115" s="4">
        <v>-3.589E-4</v>
      </c>
      <c r="H115" s="4">
        <v>1.6109999999999999E-2</v>
      </c>
      <c r="I115" s="4">
        <v>4.1780000000000003E-3</v>
      </c>
      <c r="J115" s="19">
        <v>4100</v>
      </c>
      <c r="K115" s="1"/>
    </row>
    <row r="116" spans="1:11">
      <c r="A116" s="4">
        <v>6</v>
      </c>
      <c r="B116" s="4">
        <v>10</v>
      </c>
      <c r="C116" s="4">
        <v>3.5990000000000002E-3</v>
      </c>
      <c r="D116" s="4">
        <v>-1.7670000000000002E-2</v>
      </c>
      <c r="E116" s="4">
        <v>-1.299E-2</v>
      </c>
      <c r="F116" s="4">
        <v>-3.5540000000000002E-4</v>
      </c>
      <c r="G116" s="4">
        <v>-1.264E-2</v>
      </c>
      <c r="H116" s="4">
        <v>3.4259999999999999E-2</v>
      </c>
      <c r="I116" s="4">
        <v>2.1270000000000001E-2</v>
      </c>
      <c r="J116" s="19">
        <v>3000</v>
      </c>
      <c r="K116" s="1"/>
    </row>
    <row r="117" spans="1:11">
      <c r="A117" s="4">
        <v>6</v>
      </c>
      <c r="B117" s="4">
        <v>11</v>
      </c>
      <c r="C117" s="4">
        <v>-1.1490000000000001E-3</v>
      </c>
      <c r="D117" s="4">
        <v>-8.6009999999999993E-3</v>
      </c>
      <c r="E117" s="4">
        <v>-3.8620000000000002E-2</v>
      </c>
      <c r="F117" s="4">
        <v>-2.2689999999999998E-2</v>
      </c>
      <c r="G117" s="4">
        <v>-1.593E-2</v>
      </c>
      <c r="H117" s="4">
        <v>4.607E-2</v>
      </c>
      <c r="I117" s="4">
        <v>7.4520000000000003E-3</v>
      </c>
      <c r="J117" s="19">
        <v>3500</v>
      </c>
      <c r="K117" s="1"/>
    </row>
    <row r="118" spans="1:11">
      <c r="A118" s="4">
        <v>6</v>
      </c>
      <c r="B118" s="4">
        <v>12</v>
      </c>
      <c r="C118" s="4">
        <v>-3.8099999999999999E-4</v>
      </c>
      <c r="D118" s="4">
        <v>-1.191E-2</v>
      </c>
      <c r="E118" s="4">
        <v>-1.2489999999999999E-2</v>
      </c>
      <c r="F118" s="4">
        <v>-1.7840000000000002E-2</v>
      </c>
      <c r="G118" s="4">
        <v>5.3509999999999999E-3</v>
      </c>
      <c r="H118" s="4">
        <v>2.402E-2</v>
      </c>
      <c r="I118" s="4">
        <v>1.153E-2</v>
      </c>
      <c r="J118" s="19">
        <v>5500</v>
      </c>
      <c r="K118" s="1"/>
    </row>
    <row r="119" spans="1:11">
      <c r="A119" s="4">
        <v>6</v>
      </c>
      <c r="B119" s="4">
        <v>13</v>
      </c>
      <c r="C119" s="4">
        <v>9.7990000000000004E-3</v>
      </c>
      <c r="D119" s="4">
        <v>-1.7409999999999998E-2</v>
      </c>
      <c r="E119" s="4">
        <v>8.3129999999999999E-4</v>
      </c>
      <c r="F119" s="4">
        <v>-1.0999999999999999E-2</v>
      </c>
      <c r="G119" s="4">
        <v>1.184E-2</v>
      </c>
      <c r="H119" s="4">
        <v>2.6380000000000001E-2</v>
      </c>
      <c r="I119" s="4">
        <v>2.7210000000000002E-2</v>
      </c>
      <c r="J119" s="19">
        <v>10000</v>
      </c>
      <c r="K119" s="1"/>
    </row>
    <row r="120" spans="1:11">
      <c r="A120" s="4">
        <v>6</v>
      </c>
      <c r="B120" s="4">
        <v>14</v>
      </c>
      <c r="C120" s="4">
        <v>1.129E-2</v>
      </c>
      <c r="D120" s="4">
        <v>-1.54E-2</v>
      </c>
      <c r="E120" s="4">
        <v>-2.1080000000000002E-2</v>
      </c>
      <c r="F120" s="4">
        <v>-1.6639999999999999E-2</v>
      </c>
      <c r="G120" s="4">
        <v>-4.437E-3</v>
      </c>
      <c r="H120" s="4">
        <v>4.777E-2</v>
      </c>
      <c r="I120" s="4">
        <v>2.6689999999999998E-2</v>
      </c>
      <c r="J120" s="19">
        <v>8100</v>
      </c>
      <c r="K120" s="1"/>
    </row>
    <row r="121" spans="1:11">
      <c r="A121" s="4">
        <v>6</v>
      </c>
      <c r="B121" s="4">
        <v>15</v>
      </c>
      <c r="C121" s="4">
        <v>1.66E-2</v>
      </c>
      <c r="D121" s="4">
        <v>-1.7899999999999999E-2</v>
      </c>
      <c r="E121" s="4">
        <v>-1.8450000000000001E-2</v>
      </c>
      <c r="F121" s="4">
        <v>-2.5309999999999999E-2</v>
      </c>
      <c r="G121" s="4">
        <v>6.8669999999999998E-3</v>
      </c>
      <c r="H121" s="4">
        <v>5.2940000000000001E-2</v>
      </c>
      <c r="I121" s="4">
        <v>3.449E-2</v>
      </c>
      <c r="J121" s="19">
        <v>9100</v>
      </c>
      <c r="K121" s="1"/>
    </row>
    <row r="122" spans="1:11">
      <c r="A122" s="4">
        <v>6</v>
      </c>
      <c r="B122" s="4">
        <v>16</v>
      </c>
      <c r="C122" s="4">
        <v>2.5420000000000002E-2</v>
      </c>
      <c r="D122" s="4">
        <v>-2.3279999999999999E-2</v>
      </c>
      <c r="E122" s="4">
        <v>-2.1909999999999999E-2</v>
      </c>
      <c r="F122" s="4">
        <v>-1.3729999999999999E-2</v>
      </c>
      <c r="G122" s="4">
        <v>-8.1849999999999996E-3</v>
      </c>
      <c r="H122" s="4">
        <v>7.0620000000000002E-2</v>
      </c>
      <c r="I122" s="4">
        <v>4.8710000000000003E-2</v>
      </c>
      <c r="J122" s="19">
        <v>8100</v>
      </c>
      <c r="K122" s="1"/>
    </row>
    <row r="123" spans="1:11">
      <c r="A123" s="4">
        <v>6</v>
      </c>
      <c r="B123" s="4">
        <v>17</v>
      </c>
      <c r="C123" s="4">
        <v>2.2759999999999999E-2</v>
      </c>
      <c r="D123" s="4">
        <v>-1.073E-2</v>
      </c>
      <c r="E123" s="4">
        <v>-4.403E-2</v>
      </c>
      <c r="F123" s="4">
        <v>-4.2590000000000003E-2</v>
      </c>
      <c r="G123" s="4">
        <v>-1.441E-3</v>
      </c>
      <c r="H123" s="4">
        <v>7.7520000000000006E-2</v>
      </c>
      <c r="I123" s="4">
        <v>3.3489999999999999E-2</v>
      </c>
      <c r="J123" s="19">
        <v>10500</v>
      </c>
      <c r="K123" s="1"/>
    </row>
    <row r="124" spans="1:11">
      <c r="A124" s="4">
        <v>6</v>
      </c>
      <c r="B124" s="4">
        <v>18</v>
      </c>
      <c r="C124" s="4">
        <v>3.9820000000000001E-2</v>
      </c>
      <c r="D124" s="4">
        <v>-1.6670000000000001E-2</v>
      </c>
      <c r="E124" s="4">
        <v>-4.1480000000000003E-2</v>
      </c>
      <c r="F124" s="4">
        <v>-3.9649999999999998E-2</v>
      </c>
      <c r="G124" s="4">
        <v>-1.8270000000000001E-3</v>
      </c>
      <c r="H124" s="4">
        <v>9.7970000000000002E-2</v>
      </c>
      <c r="I124" s="4">
        <v>5.6489999999999999E-2</v>
      </c>
      <c r="J124" s="19">
        <v>6500</v>
      </c>
      <c r="K124" s="1"/>
    </row>
    <row r="125" spans="1:11">
      <c r="A125" s="4">
        <v>6</v>
      </c>
      <c r="B125" s="4">
        <v>19</v>
      </c>
      <c r="C125" s="4">
        <v>6.5420000000000006E-2</v>
      </c>
      <c r="D125" s="4">
        <v>-1.247E-2</v>
      </c>
      <c r="E125" s="4">
        <v>-3.8670000000000003E-2</v>
      </c>
      <c r="F125" s="4">
        <v>-3.5580000000000001E-2</v>
      </c>
      <c r="G125" s="4">
        <v>-3.0929999999999998E-3</v>
      </c>
      <c r="H125" s="4">
        <v>0.1166</v>
      </c>
      <c r="I125" s="4">
        <v>7.7900000000000094E-2</v>
      </c>
      <c r="J125" s="19">
        <v>6700</v>
      </c>
      <c r="K125" s="1"/>
    </row>
    <row r="126" spans="1:11">
      <c r="A126" s="4">
        <v>6</v>
      </c>
      <c r="B126" s="4">
        <v>20</v>
      </c>
      <c r="C126" s="4">
        <v>0.20150000000000001</v>
      </c>
      <c r="D126" s="4">
        <v>6.5259999999999997E-3</v>
      </c>
      <c r="E126" s="4">
        <v>-3.0470000000000001E-2</v>
      </c>
      <c r="F126" s="4">
        <v>-2.2970000000000001E-2</v>
      </c>
      <c r="G126" s="4">
        <v>-7.5030000000000001E-3</v>
      </c>
      <c r="H126" s="4">
        <v>0.22539999999999999</v>
      </c>
      <c r="I126" s="4">
        <v>0.19489999999999999</v>
      </c>
      <c r="J126" s="19">
        <v>3900</v>
      </c>
      <c r="K126" s="1"/>
    </row>
    <row r="127" spans="1:11">
      <c r="A127" s="4">
        <v>7</v>
      </c>
      <c r="B127" s="4">
        <v>1</v>
      </c>
      <c r="C127" s="4">
        <v>-8.2769999999999996E-2</v>
      </c>
      <c r="D127" s="4">
        <v>-2.4289999999999999E-2</v>
      </c>
      <c r="E127" s="4">
        <v>2.486E-2</v>
      </c>
      <c r="F127" s="4">
        <v>5.862E-3</v>
      </c>
      <c r="G127" s="4">
        <v>1.9E-2</v>
      </c>
      <c r="H127" s="4">
        <v>-8.3349999999999994E-2</v>
      </c>
      <c r="I127" s="4">
        <v>-5.8479999999999997E-2</v>
      </c>
      <c r="J127" s="19">
        <v>650</v>
      </c>
      <c r="K127" s="1"/>
    </row>
    <row r="128" spans="1:11">
      <c r="A128" s="4">
        <v>7</v>
      </c>
      <c r="B128" s="4">
        <v>2</v>
      </c>
      <c r="C128" s="4">
        <v>-5.5410000000000001E-2</v>
      </c>
      <c r="D128" s="4">
        <v>-2.546E-2</v>
      </c>
      <c r="E128" s="4">
        <v>1.059E-2</v>
      </c>
      <c r="F128" s="4">
        <v>1.8169999999999999E-2</v>
      </c>
      <c r="G128" s="4">
        <v>-7.5779999999999997E-3</v>
      </c>
      <c r="H128" s="4">
        <v>-4.0550000000000003E-2</v>
      </c>
      <c r="I128" s="4">
        <v>-2.9960000000000001E-2</v>
      </c>
      <c r="J128" s="19">
        <v>1100</v>
      </c>
      <c r="K128" s="1"/>
    </row>
    <row r="129" spans="1:11">
      <c r="A129" s="4">
        <v>7</v>
      </c>
      <c r="B129" s="4">
        <v>3</v>
      </c>
      <c r="C129" s="4">
        <v>-1.915E-2</v>
      </c>
      <c r="D129" s="4">
        <v>-3.0939999999999999E-2</v>
      </c>
      <c r="E129" s="4">
        <v>3.6609999999999997E-2</v>
      </c>
      <c r="F129" s="4">
        <v>1.11E-2</v>
      </c>
      <c r="G129" s="4">
        <v>2.5510000000000001E-2</v>
      </c>
      <c r="H129" s="4">
        <v>-2.4830000000000001E-2</v>
      </c>
      <c r="I129" s="4">
        <v>1.1780000000000001E-2</v>
      </c>
      <c r="J129" s="19">
        <v>2000</v>
      </c>
      <c r="K129" s="1"/>
    </row>
    <row r="130" spans="1:11">
      <c r="A130" s="4">
        <v>7</v>
      </c>
      <c r="B130" s="4">
        <v>4</v>
      </c>
      <c r="C130" s="4">
        <v>-2.4979999999999999E-2</v>
      </c>
      <c r="D130" s="4">
        <v>-6.561E-3</v>
      </c>
      <c r="E130" s="4">
        <v>-1.5200000000000001E-4</v>
      </c>
      <c r="F130" s="4">
        <v>-2.6069999999999999E-3</v>
      </c>
      <c r="G130" s="4">
        <v>2.4550000000000002E-3</v>
      </c>
      <c r="H130" s="4">
        <v>-1.8259999999999998E-2</v>
      </c>
      <c r="I130" s="4">
        <v>-1.8419999999999999E-2</v>
      </c>
      <c r="J130" s="19">
        <v>2000</v>
      </c>
      <c r="K130" s="1"/>
    </row>
    <row r="131" spans="1:11">
      <c r="A131" s="4">
        <v>7</v>
      </c>
      <c r="B131" s="4">
        <v>5</v>
      </c>
      <c r="C131" s="4">
        <v>-2.0129999999999999E-2</v>
      </c>
      <c r="D131" s="4">
        <v>-1.5939999999999999E-2</v>
      </c>
      <c r="E131" s="4">
        <v>-4.6820000000000004E-3</v>
      </c>
      <c r="F131" s="4">
        <v>-3.0929999999999998E-3</v>
      </c>
      <c r="G131" s="4">
        <v>-1.5889999999999999E-3</v>
      </c>
      <c r="H131" s="4">
        <v>4.9120000000000001E-4</v>
      </c>
      <c r="I131" s="4">
        <v>-4.1900000000000001E-3</v>
      </c>
      <c r="J131" s="19">
        <v>2700</v>
      </c>
      <c r="K131" s="1"/>
    </row>
    <row r="132" spans="1:11">
      <c r="A132" s="4">
        <v>7</v>
      </c>
      <c r="B132" s="4">
        <v>6</v>
      </c>
      <c r="C132" s="4">
        <v>-2.4379999999999999E-2</v>
      </c>
      <c r="D132" s="4">
        <v>-9.3369999999999998E-3</v>
      </c>
      <c r="E132" s="4">
        <v>6.5170000000000001E-5</v>
      </c>
      <c r="F132" s="4">
        <v>-8.4600000000000005E-3</v>
      </c>
      <c r="G132" s="4">
        <v>8.5249999999999996E-3</v>
      </c>
      <c r="H132" s="4">
        <v>-1.511E-2</v>
      </c>
      <c r="I132" s="4">
        <v>-1.504E-2</v>
      </c>
      <c r="J132" s="19">
        <v>2500</v>
      </c>
      <c r="K132" s="1"/>
    </row>
    <row r="133" spans="1:11">
      <c r="A133" s="4">
        <v>7</v>
      </c>
      <c r="B133" s="4">
        <v>7</v>
      </c>
      <c r="C133" s="4">
        <v>-1.883E-2</v>
      </c>
      <c r="D133" s="4">
        <v>-1.1939999999999999E-2</v>
      </c>
      <c r="E133" s="4">
        <v>-5.0439999999999999E-3</v>
      </c>
      <c r="F133" s="4">
        <v>-1.1610000000000001E-2</v>
      </c>
      <c r="G133" s="4">
        <v>6.5640000000000004E-3</v>
      </c>
      <c r="H133" s="4">
        <v>-1.843E-3</v>
      </c>
      <c r="I133" s="4">
        <v>-6.8869999999999999E-3</v>
      </c>
      <c r="J133" s="19">
        <v>5500</v>
      </c>
      <c r="K133" s="1"/>
    </row>
    <row r="134" spans="1:11">
      <c r="A134" s="4">
        <v>7</v>
      </c>
      <c r="B134" s="4">
        <v>8</v>
      </c>
      <c r="C134" s="4">
        <v>-2.673E-2</v>
      </c>
      <c r="D134" s="4">
        <v>-2.3519999999999999E-2</v>
      </c>
      <c r="E134" s="4">
        <v>6.5779999999999996E-3</v>
      </c>
      <c r="F134" s="4">
        <v>-1.082E-2</v>
      </c>
      <c r="G134" s="4">
        <v>1.7399999999999999E-2</v>
      </c>
      <c r="H134" s="4">
        <v>-9.7920000000000004E-3</v>
      </c>
      <c r="I134" s="4">
        <v>-3.2139999999999998E-3</v>
      </c>
      <c r="J134" s="19">
        <v>5500</v>
      </c>
      <c r="K134" s="1"/>
    </row>
    <row r="135" spans="1:11">
      <c r="A135" s="4">
        <v>7</v>
      </c>
      <c r="B135" s="4">
        <v>9</v>
      </c>
      <c r="C135" s="4">
        <v>-9.4070000000000004E-3</v>
      </c>
      <c r="D135" s="4">
        <v>-1.274E-2</v>
      </c>
      <c r="E135" s="4">
        <v>-1.8249999999999999E-2</v>
      </c>
      <c r="F135" s="4">
        <v>-2.0629999999999999E-2</v>
      </c>
      <c r="G135" s="4">
        <v>2.3800000000000002E-3</v>
      </c>
      <c r="H135" s="4">
        <v>2.1579999999999998E-2</v>
      </c>
      <c r="I135" s="4">
        <v>3.3289999999999999E-3</v>
      </c>
      <c r="J135" s="19">
        <v>4700</v>
      </c>
      <c r="K135" s="1"/>
    </row>
    <row r="136" spans="1:11">
      <c r="A136" s="4">
        <v>7</v>
      </c>
      <c r="B136" s="4">
        <v>10</v>
      </c>
      <c r="C136" s="4">
        <v>-1.277E-2</v>
      </c>
      <c r="D136" s="4">
        <v>3.7699999999999999E-3</v>
      </c>
      <c r="E136" s="4">
        <v>-4.7730000000000002E-2</v>
      </c>
      <c r="F136" s="4">
        <v>-3.4639999999999997E-2</v>
      </c>
      <c r="G136" s="4">
        <v>-1.3089999999999999E-2</v>
      </c>
      <c r="H136" s="4">
        <v>3.1189999999999999E-2</v>
      </c>
      <c r="I136" s="4">
        <v>-1.6539999999999999E-2</v>
      </c>
      <c r="J136" s="19">
        <v>3300</v>
      </c>
      <c r="K136" s="1"/>
    </row>
    <row r="137" spans="1:11">
      <c r="A137" s="4">
        <v>7</v>
      </c>
      <c r="B137" s="4">
        <v>11</v>
      </c>
      <c r="C137" s="4">
        <v>-7.9039999999999996E-3</v>
      </c>
      <c r="D137" s="4">
        <v>-2.8729999999999999E-2</v>
      </c>
      <c r="E137" s="4">
        <v>-3.0279999999999999E-3</v>
      </c>
      <c r="F137" s="4">
        <v>6.2139999999999999E-3</v>
      </c>
      <c r="G137" s="4">
        <v>-9.2429999999999995E-3</v>
      </c>
      <c r="H137" s="4">
        <v>2.385E-2</v>
      </c>
      <c r="I137" s="4">
        <v>2.0830000000000001E-2</v>
      </c>
      <c r="J137" s="19">
        <v>2200</v>
      </c>
      <c r="K137" s="1"/>
    </row>
    <row r="138" spans="1:11">
      <c r="A138" s="4">
        <v>7</v>
      </c>
      <c r="B138" s="4">
        <v>12</v>
      </c>
      <c r="C138" s="4">
        <v>4.5009999999999999E-4</v>
      </c>
      <c r="D138" s="4">
        <v>-4.5149999999999999E-3</v>
      </c>
      <c r="E138" s="4">
        <v>-8.5859999999999999E-3</v>
      </c>
      <c r="F138" s="4">
        <v>-6.6639999999999998E-3</v>
      </c>
      <c r="G138" s="4">
        <v>-1.9220000000000001E-3</v>
      </c>
      <c r="H138" s="4">
        <v>1.355E-2</v>
      </c>
      <c r="I138" s="4">
        <v>4.9649999999999998E-3</v>
      </c>
      <c r="J138" s="19">
        <v>6100</v>
      </c>
      <c r="K138" s="1"/>
    </row>
    <row r="139" spans="1:11">
      <c r="A139" s="4">
        <v>7</v>
      </c>
      <c r="B139" s="4">
        <v>13</v>
      </c>
      <c r="C139" s="4">
        <v>1.1039999999999999E-2</v>
      </c>
      <c r="D139" s="4">
        <v>-1.457E-2</v>
      </c>
      <c r="E139" s="4">
        <v>-2.077E-2</v>
      </c>
      <c r="F139" s="4">
        <v>-1.6119999999999999E-2</v>
      </c>
      <c r="G139" s="4">
        <v>-4.6490000000000004E-3</v>
      </c>
      <c r="H139" s="4">
        <v>4.6379999999999998E-2</v>
      </c>
      <c r="I139" s="4">
        <v>2.5610000000000001E-2</v>
      </c>
      <c r="J139" s="19">
        <v>6900</v>
      </c>
      <c r="K139" s="1"/>
    </row>
    <row r="140" spans="1:11">
      <c r="A140" s="4">
        <v>7</v>
      </c>
      <c r="B140" s="4">
        <v>14</v>
      </c>
      <c r="C140" s="4">
        <v>1.542E-2</v>
      </c>
      <c r="D140" s="4">
        <v>-1.0999999999999999E-2</v>
      </c>
      <c r="E140" s="4">
        <v>-2.179E-2</v>
      </c>
      <c r="F140" s="4">
        <v>-1.9380000000000001E-2</v>
      </c>
      <c r="G140" s="4">
        <v>-2.4109999999999999E-3</v>
      </c>
      <c r="H140" s="4">
        <v>4.82E-2</v>
      </c>
      <c r="I140" s="4">
        <v>2.6419999999999999E-2</v>
      </c>
      <c r="J140" s="19">
        <v>10500</v>
      </c>
      <c r="K140" s="1"/>
    </row>
    <row r="141" spans="1:11">
      <c r="A141" s="4">
        <v>7</v>
      </c>
      <c r="B141" s="4">
        <v>15</v>
      </c>
      <c r="C141" s="4">
        <v>2.1299999999999999E-3</v>
      </c>
      <c r="D141" s="4">
        <v>-7.1720000000000004E-3</v>
      </c>
      <c r="E141" s="4">
        <v>-3.6510000000000001E-2</v>
      </c>
      <c r="F141" s="4">
        <v>-3.3890000000000003E-2</v>
      </c>
      <c r="G141" s="4">
        <v>-2.6259999999999999E-3</v>
      </c>
      <c r="H141" s="4">
        <v>4.582E-2</v>
      </c>
      <c r="I141" s="4">
        <v>9.3020000000000099E-3</v>
      </c>
      <c r="J141" s="19">
        <v>9000</v>
      </c>
      <c r="K141" s="1"/>
    </row>
    <row r="142" spans="1:11">
      <c r="A142" s="4">
        <v>7</v>
      </c>
      <c r="B142" s="4">
        <v>16</v>
      </c>
      <c r="C142" s="4">
        <v>2.3310000000000001E-2</v>
      </c>
      <c r="D142" s="4">
        <v>-1.282E-2</v>
      </c>
      <c r="E142" s="4">
        <v>-3.1980000000000001E-2</v>
      </c>
      <c r="F142" s="4">
        <v>-3.2039999999999999E-2</v>
      </c>
      <c r="G142" s="4">
        <v>5.6230000000000002E-5</v>
      </c>
      <c r="H142" s="4">
        <v>6.8110000000000004E-2</v>
      </c>
      <c r="I142" s="4">
        <v>3.6130000000000002E-2</v>
      </c>
      <c r="J142" s="19">
        <v>7200</v>
      </c>
      <c r="K142" s="1"/>
    </row>
    <row r="143" spans="1:11">
      <c r="A143" s="4">
        <v>7</v>
      </c>
      <c r="B143" s="4">
        <v>17</v>
      </c>
      <c r="C143" s="4">
        <v>3.6360000000000003E-2</v>
      </c>
      <c r="D143" s="4">
        <v>-8.4710000000000004E-4</v>
      </c>
      <c r="E143" s="4">
        <v>-2.1049999999999999E-2</v>
      </c>
      <c r="F143" s="4">
        <v>-2.4500000000000001E-2</v>
      </c>
      <c r="G143" s="4">
        <v>3.447E-3</v>
      </c>
      <c r="H143" s="4">
        <v>5.8259999999999999E-2</v>
      </c>
      <c r="I143" s="4">
        <v>3.721E-2</v>
      </c>
      <c r="J143" s="19">
        <v>10500</v>
      </c>
      <c r="K143" s="1"/>
    </row>
    <row r="144" spans="1:11">
      <c r="A144" s="4">
        <v>7</v>
      </c>
      <c r="B144" s="4">
        <v>18</v>
      </c>
      <c r="C144" s="4">
        <v>2.6749999999999999E-2</v>
      </c>
      <c r="D144" s="4">
        <v>-2.1850000000000001E-2</v>
      </c>
      <c r="E144" s="4">
        <v>-3.6799999999999999E-2</v>
      </c>
      <c r="F144" s="4">
        <v>-3.1029999999999999E-2</v>
      </c>
      <c r="G144" s="4">
        <v>-5.7749999999999998E-3</v>
      </c>
      <c r="H144" s="4">
        <v>8.541E-2</v>
      </c>
      <c r="I144" s="4">
        <v>4.8599999999999997E-2</v>
      </c>
      <c r="J144" s="19">
        <v>12000</v>
      </c>
      <c r="K144" s="1"/>
    </row>
    <row r="145" spans="1:11">
      <c r="A145" s="4">
        <v>7</v>
      </c>
      <c r="B145" s="4">
        <v>19</v>
      </c>
      <c r="C145" s="4">
        <v>4.1250000000000002E-2</v>
      </c>
      <c r="D145" s="4">
        <v>-2.342E-2</v>
      </c>
      <c r="E145" s="4">
        <v>-4.512E-2</v>
      </c>
      <c r="F145" s="4">
        <v>-4.2349999999999999E-2</v>
      </c>
      <c r="G145" s="4">
        <v>-2.7699999999999999E-3</v>
      </c>
      <c r="H145" s="4">
        <v>0.10979999999999999</v>
      </c>
      <c r="I145" s="4">
        <v>6.4670000000000005E-2</v>
      </c>
      <c r="J145" s="19">
        <v>8500</v>
      </c>
      <c r="K145" s="1"/>
    </row>
    <row r="146" spans="1:11">
      <c r="A146" s="4">
        <v>7</v>
      </c>
      <c r="B146" s="4">
        <v>20</v>
      </c>
      <c r="C146" s="4">
        <v>0.151</v>
      </c>
      <c r="D146" s="4">
        <v>-2.138E-2</v>
      </c>
      <c r="E146" s="4">
        <v>-4.6210000000000001E-2</v>
      </c>
      <c r="F146" s="4">
        <v>-3.7379999999999997E-2</v>
      </c>
      <c r="G146" s="4">
        <v>-8.8330000000000006E-3</v>
      </c>
      <c r="H146" s="4">
        <v>0.21859999999999999</v>
      </c>
      <c r="I146" s="4">
        <v>0.1724</v>
      </c>
      <c r="J146" s="19">
        <v>5500</v>
      </c>
      <c r="K146" s="1"/>
    </row>
    <row r="147" spans="1:11">
      <c r="A147" s="4">
        <v>8</v>
      </c>
      <c r="B147" s="4">
        <v>1</v>
      </c>
      <c r="C147" s="4">
        <v>-4.623E-2</v>
      </c>
      <c r="D147" s="4">
        <v>-1.3089999999999999E-2</v>
      </c>
      <c r="E147" s="4">
        <v>2.945E-2</v>
      </c>
      <c r="F147" s="4">
        <v>2.342E-2</v>
      </c>
      <c r="G147" s="4">
        <v>6.0270000000000002E-3</v>
      </c>
      <c r="H147" s="4">
        <v>-6.2600000000000003E-2</v>
      </c>
      <c r="I147" s="4">
        <v>-3.3149999999999999E-2</v>
      </c>
      <c r="J147" s="19">
        <v>1100</v>
      </c>
      <c r="K147" s="1"/>
    </row>
    <row r="148" spans="1:11">
      <c r="A148" s="4">
        <v>8</v>
      </c>
      <c r="B148" s="4">
        <v>2</v>
      </c>
      <c r="C148" s="4">
        <v>-4.0370000000000003E-2</v>
      </c>
      <c r="D148" s="4">
        <v>-2.5950000000000001E-2</v>
      </c>
      <c r="E148" s="4">
        <v>6.5960000000000003E-3</v>
      </c>
      <c r="F148" s="4">
        <v>-1.98E-3</v>
      </c>
      <c r="G148" s="4">
        <v>8.5760000000000003E-3</v>
      </c>
      <c r="H148" s="4">
        <v>-2.1010000000000001E-2</v>
      </c>
      <c r="I148" s="4">
        <v>-1.4420000000000001E-2</v>
      </c>
      <c r="J148" s="19">
        <v>1800</v>
      </c>
      <c r="K148" s="1"/>
    </row>
    <row r="149" spans="1:11">
      <c r="A149" s="4">
        <v>8</v>
      </c>
      <c r="B149" s="4">
        <v>3</v>
      </c>
      <c r="C149" s="4">
        <v>-2.7099999999999999E-2</v>
      </c>
      <c r="D149" s="4">
        <v>-2.1849999999999999E-3</v>
      </c>
      <c r="E149" s="4">
        <v>-1.1050000000000001E-2</v>
      </c>
      <c r="F149" s="4">
        <v>-2.5539999999999998E-3</v>
      </c>
      <c r="G149" s="4">
        <v>-8.5000000000000006E-3</v>
      </c>
      <c r="H149" s="4">
        <v>-1.3860000000000001E-2</v>
      </c>
      <c r="I149" s="4">
        <v>-2.4910000000000002E-2</v>
      </c>
      <c r="J149" s="19">
        <v>3400</v>
      </c>
      <c r="K149" s="1"/>
    </row>
    <row r="150" spans="1:11">
      <c r="A150" s="4">
        <v>8</v>
      </c>
      <c r="B150" s="4">
        <v>4</v>
      </c>
      <c r="C150" s="4">
        <v>-1.252E-2</v>
      </c>
      <c r="D150" s="4">
        <v>8.7850000000000005E-4</v>
      </c>
      <c r="E150" s="4">
        <v>-1.977E-3</v>
      </c>
      <c r="F150" s="4">
        <v>-1.2719999999999999E-3</v>
      </c>
      <c r="G150" s="4">
        <v>-7.0450000000000005E-4</v>
      </c>
      <c r="H150" s="4">
        <v>-1.142E-2</v>
      </c>
      <c r="I150" s="4">
        <v>-1.34E-2</v>
      </c>
      <c r="J150" s="19">
        <v>4600</v>
      </c>
      <c r="K150" s="1"/>
    </row>
    <row r="151" spans="1:11">
      <c r="A151" s="4">
        <v>8</v>
      </c>
      <c r="B151" s="4">
        <v>5</v>
      </c>
      <c r="C151" s="4">
        <v>-3.5959999999999999E-2</v>
      </c>
      <c r="D151" s="4">
        <v>-2.5420000000000002E-2</v>
      </c>
      <c r="E151" s="4">
        <v>7.2259999999999998E-3</v>
      </c>
      <c r="F151" s="4">
        <v>9.7409999999999997E-3</v>
      </c>
      <c r="G151" s="4">
        <v>-2.5149999999999999E-3</v>
      </c>
      <c r="H151" s="4">
        <v>-1.7770000000000001E-2</v>
      </c>
      <c r="I151" s="4">
        <v>-1.0540000000000001E-2</v>
      </c>
      <c r="J151" s="19">
        <v>2200</v>
      </c>
      <c r="K151" s="1"/>
    </row>
    <row r="152" spans="1:11">
      <c r="A152" s="4">
        <v>8</v>
      </c>
      <c r="B152" s="4">
        <v>6</v>
      </c>
      <c r="C152" s="4">
        <v>-3.9449999999999997E-3</v>
      </c>
      <c r="D152" s="4">
        <v>7.0559999999999998E-3</v>
      </c>
      <c r="E152" s="4">
        <v>-8.77E-3</v>
      </c>
      <c r="F152" s="4">
        <v>-1.204E-3</v>
      </c>
      <c r="G152" s="4">
        <v>-7.5649999999999997E-3</v>
      </c>
      <c r="H152" s="4">
        <v>-2.2309999999999999E-3</v>
      </c>
      <c r="I152" s="4">
        <v>-1.0999999999999999E-2</v>
      </c>
      <c r="J152" s="19">
        <v>3400</v>
      </c>
      <c r="K152" s="1"/>
    </row>
    <row r="153" spans="1:11">
      <c r="A153" s="4">
        <v>8</v>
      </c>
      <c r="B153" s="4">
        <v>7</v>
      </c>
      <c r="C153" s="4">
        <v>1.0480000000000001E-3</v>
      </c>
      <c r="D153" s="4">
        <v>-3.8189999999999999E-3</v>
      </c>
      <c r="E153" s="4">
        <v>-2.3379999999999998E-3</v>
      </c>
      <c r="F153" s="4">
        <v>-1.5499999999999999E-3</v>
      </c>
      <c r="G153" s="4">
        <v>-7.8799999999999996E-4</v>
      </c>
      <c r="H153" s="4">
        <v>7.2059999999999997E-3</v>
      </c>
      <c r="I153" s="4">
        <v>4.8679999999999999E-3</v>
      </c>
      <c r="J153" s="19">
        <v>5300</v>
      </c>
      <c r="K153" s="1"/>
    </row>
    <row r="154" spans="1:11">
      <c r="A154" s="4">
        <v>8</v>
      </c>
      <c r="B154" s="4">
        <v>8</v>
      </c>
      <c r="C154" s="4">
        <v>-4.5059999999999996E-3</v>
      </c>
      <c r="D154" s="4">
        <v>-1.323E-2</v>
      </c>
      <c r="E154" s="4">
        <v>7.5810000000000001E-3</v>
      </c>
      <c r="F154" s="4">
        <v>-7.6E-3</v>
      </c>
      <c r="G154" s="4">
        <v>1.5180000000000001E-2</v>
      </c>
      <c r="H154" s="4">
        <v>1.1479999999999999E-3</v>
      </c>
      <c r="I154" s="4">
        <v>8.7290000000000006E-3</v>
      </c>
      <c r="J154" s="19">
        <v>2300</v>
      </c>
      <c r="K154" s="1"/>
    </row>
    <row r="155" spans="1:11">
      <c r="A155" s="4">
        <v>8</v>
      </c>
      <c r="B155" s="4">
        <v>9</v>
      </c>
      <c r="C155" s="4">
        <v>9.4669999999999997E-3</v>
      </c>
      <c r="D155" s="4">
        <v>-5.8110000000000002E-3</v>
      </c>
      <c r="E155" s="4">
        <v>-1.3509999999999999E-2</v>
      </c>
      <c r="F155" s="4">
        <v>-9.4680000000000007E-3</v>
      </c>
      <c r="G155" s="4">
        <v>-4.0460000000000001E-3</v>
      </c>
      <c r="H155" s="4">
        <v>2.879E-2</v>
      </c>
      <c r="I155" s="4">
        <v>1.528E-2</v>
      </c>
      <c r="J155" s="19">
        <v>4300</v>
      </c>
      <c r="K155" s="1"/>
    </row>
    <row r="156" spans="1:11">
      <c r="A156" s="4">
        <v>8</v>
      </c>
      <c r="B156" s="4">
        <v>10</v>
      </c>
      <c r="C156" s="4">
        <v>1.0869999999999999E-2</v>
      </c>
      <c r="D156" s="4">
        <v>-2.0619999999999999E-2</v>
      </c>
      <c r="E156" s="4">
        <v>1.3849999999999999E-2</v>
      </c>
      <c r="F156" s="4">
        <v>8.2959999999999996E-3</v>
      </c>
      <c r="G156" s="4">
        <v>5.5560000000000002E-3</v>
      </c>
      <c r="H156" s="4">
        <v>1.7649999999999999E-2</v>
      </c>
      <c r="I156" s="4">
        <v>3.15E-2</v>
      </c>
      <c r="J156" s="19">
        <v>5200</v>
      </c>
      <c r="K156" s="1"/>
    </row>
    <row r="157" spans="1:11">
      <c r="A157" s="4">
        <v>8</v>
      </c>
      <c r="B157" s="4">
        <v>11</v>
      </c>
      <c r="C157" s="4">
        <v>-5.3090000000000004E-3</v>
      </c>
      <c r="D157" s="4">
        <v>-1.337E-2</v>
      </c>
      <c r="E157" s="4">
        <v>-1.609E-2</v>
      </c>
      <c r="F157" s="4">
        <v>-1.1900000000000001E-2</v>
      </c>
      <c r="G157" s="4">
        <v>-4.1900000000000001E-3</v>
      </c>
      <c r="H157" s="4">
        <v>2.4140000000000002E-2</v>
      </c>
      <c r="I157" s="4">
        <v>8.0560000000000007E-3</v>
      </c>
      <c r="J157" s="19">
        <v>3300</v>
      </c>
      <c r="K157" s="1"/>
    </row>
    <row r="158" spans="1:11">
      <c r="A158" s="4">
        <v>8</v>
      </c>
      <c r="B158" s="4">
        <v>12</v>
      </c>
      <c r="C158" s="4">
        <v>4.1599999999999996E-3</v>
      </c>
      <c r="D158" s="4">
        <v>-8.0979999999999993E-3</v>
      </c>
      <c r="E158" s="4">
        <v>-1.153E-2</v>
      </c>
      <c r="F158" s="4">
        <v>-1.8620000000000001E-2</v>
      </c>
      <c r="G158" s="4">
        <v>7.0899999999999999E-3</v>
      </c>
      <c r="H158" s="4">
        <v>2.3789999999999999E-2</v>
      </c>
      <c r="I158" s="4">
        <v>1.226E-2</v>
      </c>
      <c r="J158" s="19">
        <v>7100</v>
      </c>
      <c r="K158" s="1"/>
    </row>
    <row r="159" spans="1:11">
      <c r="A159" s="4">
        <v>8</v>
      </c>
      <c r="B159" s="4">
        <v>13</v>
      </c>
      <c r="C159" s="4">
        <v>4.6839999999999998E-3</v>
      </c>
      <c r="D159" s="4">
        <v>-1.5789999999999998E-2</v>
      </c>
      <c r="E159" s="4">
        <v>-1.4710000000000001E-2</v>
      </c>
      <c r="F159" s="4">
        <v>-1.77E-2</v>
      </c>
      <c r="G159" s="4">
        <v>2.9880000000000002E-3</v>
      </c>
      <c r="H159" s="4">
        <v>3.5180000000000003E-2</v>
      </c>
      <c r="I159" s="4">
        <v>2.0469999999999999E-2</v>
      </c>
      <c r="J159" s="19">
        <v>6400</v>
      </c>
      <c r="K159" s="1"/>
    </row>
    <row r="160" spans="1:11">
      <c r="A160" s="4">
        <v>8</v>
      </c>
      <c r="B160" s="4">
        <v>14</v>
      </c>
      <c r="C160" s="4">
        <v>8.6969999999999999E-3</v>
      </c>
      <c r="D160" s="4">
        <v>-8.4799999999999997E-3</v>
      </c>
      <c r="E160" s="4">
        <v>-2.4809999999999999E-2</v>
      </c>
      <c r="F160" s="4">
        <v>-2.427E-2</v>
      </c>
      <c r="G160" s="4">
        <v>-5.3810000000000001E-4</v>
      </c>
      <c r="H160" s="4">
        <v>4.199E-2</v>
      </c>
      <c r="I160" s="4">
        <v>1.7180000000000001E-2</v>
      </c>
      <c r="J160" s="19">
        <v>10500</v>
      </c>
      <c r="K160" s="1"/>
    </row>
    <row r="161" spans="1:11">
      <c r="A161" s="4">
        <v>8</v>
      </c>
      <c r="B161" s="4">
        <v>15</v>
      </c>
      <c r="C161" s="4">
        <v>2.3599999999999999E-2</v>
      </c>
      <c r="D161" s="4">
        <v>-2.435E-2</v>
      </c>
      <c r="E161" s="4">
        <v>1.528E-2</v>
      </c>
      <c r="F161" s="4">
        <v>-1.5089999999999999E-2</v>
      </c>
      <c r="G161" s="4">
        <v>3.0380000000000001E-2</v>
      </c>
      <c r="H161" s="4">
        <v>3.2669999999999998E-2</v>
      </c>
      <c r="I161" s="4">
        <v>4.795E-2</v>
      </c>
      <c r="J161" s="19">
        <v>6500</v>
      </c>
      <c r="K161" s="1"/>
    </row>
    <row r="162" spans="1:11">
      <c r="A162" s="4">
        <v>8</v>
      </c>
      <c r="B162" s="4">
        <v>16</v>
      </c>
      <c r="C162" s="4">
        <v>3.9960000000000004E-3</v>
      </c>
      <c r="D162" s="4">
        <v>-2.7629999999999998E-2</v>
      </c>
      <c r="E162" s="4">
        <v>-1.4760000000000001E-2</v>
      </c>
      <c r="F162" s="4">
        <v>-1.9060000000000001E-2</v>
      </c>
      <c r="G162" s="4">
        <v>4.3070000000000001E-3</v>
      </c>
      <c r="H162" s="4">
        <v>4.6379999999999998E-2</v>
      </c>
      <c r="I162" s="4">
        <v>3.1629999999999998E-2</v>
      </c>
      <c r="J162" s="19">
        <v>10000</v>
      </c>
      <c r="K162" s="1"/>
    </row>
    <row r="163" spans="1:11">
      <c r="A163" s="4">
        <v>8</v>
      </c>
      <c r="B163" s="4">
        <v>17</v>
      </c>
      <c r="C163" s="4">
        <v>2.9389999999999999E-2</v>
      </c>
      <c r="D163" s="4">
        <v>2.7179999999999999E-3</v>
      </c>
      <c r="E163" s="4">
        <v>-4.514E-2</v>
      </c>
      <c r="F163" s="4">
        <v>-3.8760000000000003E-2</v>
      </c>
      <c r="G163" s="4">
        <v>-6.3740000000000003E-3</v>
      </c>
      <c r="H163" s="4">
        <v>7.1809999999999999E-2</v>
      </c>
      <c r="I163" s="4">
        <v>2.6669999999999999E-2</v>
      </c>
      <c r="J163" s="19">
        <v>14000</v>
      </c>
      <c r="K163" s="1"/>
    </row>
    <row r="164" spans="1:11">
      <c r="A164" s="4">
        <v>8</v>
      </c>
      <c r="B164" s="4">
        <v>18</v>
      </c>
      <c r="C164" s="4">
        <v>3.7449999999999997E-2</v>
      </c>
      <c r="D164" s="4">
        <v>-1.4710000000000001E-2</v>
      </c>
      <c r="E164" s="4">
        <v>-4.2029999999999998E-2</v>
      </c>
      <c r="F164" s="4">
        <v>-3.9019999999999999E-2</v>
      </c>
      <c r="G164" s="4">
        <v>-3.0100000000000001E-3</v>
      </c>
      <c r="H164" s="4">
        <v>9.4189999999999996E-2</v>
      </c>
      <c r="I164" s="4">
        <v>5.2170000000000001E-2</v>
      </c>
      <c r="J164" s="19">
        <v>8900</v>
      </c>
      <c r="K164" s="1"/>
    </row>
    <row r="165" spans="1:11">
      <c r="A165" s="4">
        <v>8</v>
      </c>
      <c r="B165" s="4">
        <v>19</v>
      </c>
      <c r="C165" s="4">
        <v>4.2529999999999998E-2</v>
      </c>
      <c r="D165" s="4">
        <v>-2.7949999999999999E-2</v>
      </c>
      <c r="E165" s="4">
        <v>-3.4270000000000002E-2</v>
      </c>
      <c r="F165" s="4">
        <v>-3.2550000000000003E-2</v>
      </c>
      <c r="G165" s="4">
        <v>-1.712E-3</v>
      </c>
      <c r="H165" s="4">
        <v>0.1047</v>
      </c>
      <c r="I165" s="4">
        <v>7.0480000000000001E-2</v>
      </c>
      <c r="J165" s="19">
        <v>11500</v>
      </c>
      <c r="K165" s="1"/>
    </row>
    <row r="166" spans="1:11">
      <c r="A166" s="4">
        <v>8</v>
      </c>
      <c r="B166" s="4">
        <v>20</v>
      </c>
      <c r="C166" s="4">
        <v>0.1719</v>
      </c>
      <c r="D166" s="4">
        <v>-1.17E-2</v>
      </c>
      <c r="E166" s="4">
        <v>-3.2199999999999999E-2</v>
      </c>
      <c r="F166" s="4">
        <v>-2.248E-2</v>
      </c>
      <c r="G166" s="4">
        <v>-9.7120000000000001E-3</v>
      </c>
      <c r="H166" s="4">
        <v>0.21579999999999999</v>
      </c>
      <c r="I166" s="4">
        <v>0.18360000000000001</v>
      </c>
      <c r="J166" s="19">
        <v>5100</v>
      </c>
      <c r="K166" s="1"/>
    </row>
    <row r="167" spans="1:11">
      <c r="A167" s="4">
        <v>9</v>
      </c>
      <c r="B167" s="4">
        <v>1</v>
      </c>
      <c r="C167" s="4">
        <v>-6.8049999999999999E-2</v>
      </c>
      <c r="D167" s="4">
        <v>-2.4459999999999999E-2</v>
      </c>
      <c r="E167" s="4">
        <v>5.0520000000000002E-2</v>
      </c>
      <c r="F167" s="4">
        <v>1.035E-2</v>
      </c>
      <c r="G167" s="4">
        <v>4.0169999999999997E-2</v>
      </c>
      <c r="H167" s="4">
        <v>-9.4109999999999999E-2</v>
      </c>
      <c r="I167" s="4">
        <v>-4.3589999999999997E-2</v>
      </c>
      <c r="J167" s="19">
        <v>450</v>
      </c>
      <c r="K167" s="1"/>
    </row>
    <row r="168" spans="1:11">
      <c r="A168" s="4">
        <v>9</v>
      </c>
      <c r="B168" s="4">
        <v>2</v>
      </c>
      <c r="C168" s="4">
        <v>-3.4509999999999999E-2</v>
      </c>
      <c r="D168" s="4">
        <v>-1.15E-2</v>
      </c>
      <c r="E168" s="4">
        <v>4.036E-2</v>
      </c>
      <c r="F168" s="4">
        <v>2.9180000000000001E-2</v>
      </c>
      <c r="G168" s="4">
        <v>1.1169999999999999E-2</v>
      </c>
      <c r="H168" s="4">
        <v>-6.3369999999999996E-2</v>
      </c>
      <c r="I168" s="4">
        <v>-2.3009999999999999E-2</v>
      </c>
      <c r="J168" s="19">
        <v>1100</v>
      </c>
      <c r="K168" s="1"/>
    </row>
    <row r="169" spans="1:11">
      <c r="A169" s="4">
        <v>9</v>
      </c>
      <c r="B169" s="4">
        <v>3</v>
      </c>
      <c r="C169" s="4">
        <v>-1.6199999999999999E-2</v>
      </c>
      <c r="D169" s="4">
        <v>-7.4859999999999996E-3</v>
      </c>
      <c r="E169" s="4">
        <v>2.4920000000000001E-2</v>
      </c>
      <c r="F169" s="4">
        <v>1.529E-2</v>
      </c>
      <c r="G169" s="4">
        <v>9.6290000000000004E-3</v>
      </c>
      <c r="H169" s="4">
        <v>-3.3640000000000003E-2</v>
      </c>
      <c r="I169" s="4">
        <v>-8.7170000000000008E-3</v>
      </c>
      <c r="J169" s="19">
        <v>2000</v>
      </c>
      <c r="K169" s="1"/>
    </row>
    <row r="170" spans="1:11">
      <c r="A170" s="4">
        <v>9</v>
      </c>
      <c r="B170" s="4">
        <v>4</v>
      </c>
      <c r="C170" s="4">
        <v>-2.6440000000000002E-2</v>
      </c>
      <c r="D170" s="4">
        <v>-1.9709999999999998E-2</v>
      </c>
      <c r="E170" s="4">
        <v>2.896E-2</v>
      </c>
      <c r="F170" s="4">
        <v>2.0500000000000001E-2</v>
      </c>
      <c r="G170" s="4">
        <v>8.4600000000000005E-3</v>
      </c>
      <c r="H170" s="4">
        <v>-3.569E-2</v>
      </c>
      <c r="I170" s="4">
        <v>-6.7330000000000003E-3</v>
      </c>
      <c r="J170" s="19">
        <v>3500</v>
      </c>
      <c r="K170" s="1"/>
    </row>
    <row r="171" spans="1:11">
      <c r="A171" s="4">
        <v>9</v>
      </c>
      <c r="B171" s="4">
        <v>5</v>
      </c>
      <c r="C171" s="4">
        <v>-2.5260000000000001E-2</v>
      </c>
      <c r="D171" s="4">
        <v>-2.4979999999999999E-2</v>
      </c>
      <c r="E171" s="4">
        <v>1.349E-2</v>
      </c>
      <c r="F171" s="4">
        <v>9.6299999999999997E-3</v>
      </c>
      <c r="G171" s="4">
        <v>3.8560000000000001E-3</v>
      </c>
      <c r="H171" s="4">
        <v>-1.3769999999999999E-2</v>
      </c>
      <c r="I171" s="4">
        <v>-2.8830000000000001E-4</v>
      </c>
      <c r="J171" s="19">
        <v>2000</v>
      </c>
      <c r="K171" s="1"/>
    </row>
    <row r="172" spans="1:11">
      <c r="A172" s="4">
        <v>9</v>
      </c>
      <c r="B172" s="4">
        <v>6</v>
      </c>
      <c r="C172" s="4">
        <v>-1.7389999999999999E-2</v>
      </c>
      <c r="D172" s="4">
        <v>-1.3180000000000001E-2</v>
      </c>
      <c r="E172" s="4">
        <v>1.6279999999999999E-2</v>
      </c>
      <c r="F172" s="4">
        <v>1.1379999999999999E-2</v>
      </c>
      <c r="G172" s="4">
        <v>4.895E-3</v>
      </c>
      <c r="H172" s="4">
        <v>-2.0490000000000001E-2</v>
      </c>
      <c r="I172" s="4">
        <v>-4.2079999999999999E-3</v>
      </c>
      <c r="J172" s="19">
        <v>3700</v>
      </c>
      <c r="K172" s="1"/>
    </row>
    <row r="173" spans="1:11">
      <c r="A173" s="4">
        <v>9</v>
      </c>
      <c r="B173" s="4">
        <v>7</v>
      </c>
      <c r="C173" s="4">
        <v>-1.8149999999999999E-2</v>
      </c>
      <c r="D173" s="4">
        <v>-4.7219999999999996E-3</v>
      </c>
      <c r="E173" s="4">
        <v>9.0449999999999992E-3</v>
      </c>
      <c r="F173" s="4">
        <v>-3.0569999999999998E-3</v>
      </c>
      <c r="G173" s="4">
        <v>1.21E-2</v>
      </c>
      <c r="H173" s="4">
        <v>-2.247E-2</v>
      </c>
      <c r="I173" s="4">
        <v>-1.342E-2</v>
      </c>
      <c r="J173" s="19">
        <v>4600</v>
      </c>
      <c r="K173" s="1"/>
    </row>
    <row r="174" spans="1:11">
      <c r="A174" s="4">
        <v>9</v>
      </c>
      <c r="B174" s="4">
        <v>8</v>
      </c>
      <c r="C174" s="4">
        <v>-1.2149999999999999E-2</v>
      </c>
      <c r="D174" s="4">
        <v>-1.504E-2</v>
      </c>
      <c r="E174" s="4">
        <v>3.4790000000000001E-2</v>
      </c>
      <c r="F174" s="4">
        <v>1.0319999999999999E-2</v>
      </c>
      <c r="G174" s="4">
        <v>2.4469999999999999E-2</v>
      </c>
      <c r="H174" s="4">
        <v>-3.1899999999999998E-2</v>
      </c>
      <c r="I174" s="4">
        <v>2.8930000000000002E-3</v>
      </c>
      <c r="J174" s="19">
        <v>4600</v>
      </c>
      <c r="K174" s="1"/>
    </row>
    <row r="175" spans="1:11">
      <c r="A175" s="4">
        <v>9</v>
      </c>
      <c r="B175" s="4">
        <v>9</v>
      </c>
      <c r="C175" s="4">
        <v>-1.0500000000000001E-2</v>
      </c>
      <c r="D175" s="4">
        <v>-2.444E-2</v>
      </c>
      <c r="E175" s="4">
        <v>1.451E-2</v>
      </c>
      <c r="F175" s="4">
        <v>1.769E-3</v>
      </c>
      <c r="G175" s="4">
        <v>1.274E-2</v>
      </c>
      <c r="H175" s="4">
        <v>-5.7620000000000002E-4</v>
      </c>
      <c r="I175" s="4">
        <v>1.393E-2</v>
      </c>
      <c r="J175" s="19">
        <v>3800</v>
      </c>
      <c r="K175" s="1"/>
    </row>
    <row r="176" spans="1:11">
      <c r="A176" s="4">
        <v>9</v>
      </c>
      <c r="B176" s="4">
        <v>10</v>
      </c>
      <c r="C176" s="4">
        <v>8.2030000000000002E-3</v>
      </c>
      <c r="D176" s="4">
        <v>-8.2830000000000004E-3</v>
      </c>
      <c r="E176" s="4">
        <v>-8.9040000000000005E-3</v>
      </c>
      <c r="F176" s="4">
        <v>-1.122E-3</v>
      </c>
      <c r="G176" s="4">
        <v>-7.7819999999999999E-3</v>
      </c>
      <c r="H176" s="4">
        <v>2.5389999999999999E-2</v>
      </c>
      <c r="I176" s="4">
        <v>1.6490000000000001E-2</v>
      </c>
      <c r="J176" s="19">
        <v>4100</v>
      </c>
      <c r="K176" s="1"/>
    </row>
    <row r="177" spans="1:11">
      <c r="A177" s="4">
        <v>9</v>
      </c>
      <c r="B177" s="4">
        <v>11</v>
      </c>
      <c r="C177" s="4">
        <v>-9.1350000000000008E-3</v>
      </c>
      <c r="D177" s="4">
        <v>-1.418E-2</v>
      </c>
      <c r="E177" s="4">
        <v>-1.338E-2</v>
      </c>
      <c r="F177" s="4">
        <v>-7.3350000000000004E-3</v>
      </c>
      <c r="G177" s="4">
        <v>-6.0489999999999997E-3</v>
      </c>
      <c r="H177" s="4">
        <v>1.8429999999999998E-2</v>
      </c>
      <c r="I177" s="4">
        <v>5.0489999999999997E-3</v>
      </c>
      <c r="J177" s="19">
        <v>3100</v>
      </c>
      <c r="K177" s="1"/>
    </row>
    <row r="178" spans="1:11">
      <c r="A178" s="4">
        <v>9</v>
      </c>
      <c r="B178" s="4">
        <v>12</v>
      </c>
      <c r="C178" s="4">
        <v>-3.8660000000000001E-3</v>
      </c>
      <c r="D178" s="4">
        <v>-1.644E-2</v>
      </c>
      <c r="E178" s="4">
        <v>1.072E-2</v>
      </c>
      <c r="F178" s="4">
        <v>-5.1369999999999998E-5</v>
      </c>
      <c r="G178" s="4">
        <v>1.078E-2</v>
      </c>
      <c r="H178" s="4">
        <v>1.851E-3</v>
      </c>
      <c r="I178" s="4">
        <v>1.2579999999999999E-2</v>
      </c>
      <c r="J178" s="19">
        <v>6700</v>
      </c>
      <c r="K178" s="1"/>
    </row>
    <row r="179" spans="1:11">
      <c r="A179" s="4">
        <v>9</v>
      </c>
      <c r="B179" s="4">
        <v>13</v>
      </c>
      <c r="C179" s="4">
        <v>1.205E-2</v>
      </c>
      <c r="D179" s="4">
        <v>-1.3439999999999999E-3</v>
      </c>
      <c r="E179" s="4">
        <v>-1.193E-3</v>
      </c>
      <c r="F179" s="4">
        <v>-1.3220000000000001E-2</v>
      </c>
      <c r="G179" s="4">
        <v>1.2019999999999999E-2</v>
      </c>
      <c r="H179" s="4">
        <v>1.4590000000000001E-2</v>
      </c>
      <c r="I179" s="4">
        <v>1.3390000000000001E-2</v>
      </c>
      <c r="J179" s="19">
        <v>7000</v>
      </c>
      <c r="K179" s="1"/>
    </row>
    <row r="180" spans="1:11">
      <c r="A180" s="4">
        <v>9</v>
      </c>
      <c r="B180" s="4">
        <v>14</v>
      </c>
      <c r="C180" s="4">
        <v>2.408E-3</v>
      </c>
      <c r="D180" s="4">
        <v>-9.1439999999999994E-3</v>
      </c>
      <c r="E180" s="4">
        <v>-1.464E-2</v>
      </c>
      <c r="F180" s="4">
        <v>-1.473E-2</v>
      </c>
      <c r="G180" s="4">
        <v>9.0200000000000105E-5</v>
      </c>
      <c r="H180" s="4">
        <v>2.6200000000000001E-2</v>
      </c>
      <c r="I180" s="4">
        <v>1.155E-2</v>
      </c>
      <c r="J180" s="19">
        <v>8800</v>
      </c>
      <c r="K180" s="1"/>
    </row>
    <row r="181" spans="1:11">
      <c r="A181" s="4">
        <v>9</v>
      </c>
      <c r="B181" s="4">
        <v>15</v>
      </c>
      <c r="C181" s="4">
        <v>1.2630000000000001E-2</v>
      </c>
      <c r="D181" s="4">
        <v>-1.5389999999999999E-2</v>
      </c>
      <c r="E181" s="4">
        <v>-5.424E-3</v>
      </c>
      <c r="F181" s="4">
        <v>-1.119E-2</v>
      </c>
      <c r="G181" s="4">
        <v>5.7689999999999998E-3</v>
      </c>
      <c r="H181" s="4">
        <v>3.3450000000000001E-2</v>
      </c>
      <c r="I181" s="4">
        <v>2.8029999999999999E-2</v>
      </c>
      <c r="J181" s="19">
        <v>11000</v>
      </c>
      <c r="K181" s="1"/>
    </row>
    <row r="182" spans="1:11">
      <c r="A182" s="4">
        <v>9</v>
      </c>
      <c r="B182" s="4">
        <v>16</v>
      </c>
      <c r="C182" s="4">
        <v>2.2780000000000002E-2</v>
      </c>
      <c r="D182" s="4">
        <v>-1.593E-2</v>
      </c>
      <c r="E182" s="4">
        <v>-5.692E-3</v>
      </c>
      <c r="F182" s="4">
        <v>-5.3179999999999998E-3</v>
      </c>
      <c r="G182" s="4">
        <v>-3.7439999999999999E-4</v>
      </c>
      <c r="H182" s="4">
        <v>4.4400000000000002E-2</v>
      </c>
      <c r="I182" s="4">
        <v>3.8710000000000001E-2</v>
      </c>
      <c r="J182" s="19">
        <v>10500</v>
      </c>
      <c r="K182" s="1"/>
    </row>
    <row r="183" spans="1:11">
      <c r="A183" s="4">
        <v>9</v>
      </c>
      <c r="B183" s="4">
        <v>17</v>
      </c>
      <c r="C183" s="4">
        <v>2.12E-2</v>
      </c>
      <c r="D183" s="4">
        <v>-3.3249999999999998E-3</v>
      </c>
      <c r="E183" s="4">
        <v>-1.4880000000000001E-2</v>
      </c>
      <c r="F183" s="4">
        <v>-2.5479999999999999E-2</v>
      </c>
      <c r="G183" s="4">
        <v>1.06E-2</v>
      </c>
      <c r="H183" s="4">
        <v>3.9399999999999998E-2</v>
      </c>
      <c r="I183" s="4">
        <v>2.452E-2</v>
      </c>
      <c r="J183" s="19">
        <v>18500</v>
      </c>
      <c r="K183" s="1"/>
    </row>
    <row r="184" spans="1:11">
      <c r="A184" s="4">
        <v>9</v>
      </c>
      <c r="B184" s="4">
        <v>18</v>
      </c>
      <c r="C184" s="4">
        <v>3.3910000000000003E-2</v>
      </c>
      <c r="D184" s="4">
        <v>-1.223E-2</v>
      </c>
      <c r="E184" s="4">
        <v>-1.6590000000000001E-2</v>
      </c>
      <c r="F184" s="4">
        <v>-2.486E-2</v>
      </c>
      <c r="G184" s="4">
        <v>8.2749999999999994E-3</v>
      </c>
      <c r="H184" s="4">
        <v>6.2729999999999994E-2</v>
      </c>
      <c r="I184" s="4">
        <v>4.614E-2</v>
      </c>
      <c r="J184" s="19">
        <v>13500</v>
      </c>
      <c r="K184" s="1"/>
    </row>
    <row r="185" spans="1:11">
      <c r="A185" s="4">
        <v>9</v>
      </c>
      <c r="B185" s="4">
        <v>19</v>
      </c>
      <c r="C185" s="4">
        <v>4.0969999999999999E-2</v>
      </c>
      <c r="D185" s="4">
        <v>-2.8029999999999999E-2</v>
      </c>
      <c r="E185" s="4">
        <v>-2.8989999999999998E-2</v>
      </c>
      <c r="F185" s="4">
        <v>-2.8060000000000002E-2</v>
      </c>
      <c r="G185" s="4">
        <v>-9.322E-4</v>
      </c>
      <c r="H185" s="4">
        <v>9.8000000000000004E-2</v>
      </c>
      <c r="I185" s="4">
        <v>6.9010000000000002E-2</v>
      </c>
      <c r="J185" s="19">
        <v>16500</v>
      </c>
      <c r="K185" s="1"/>
    </row>
    <row r="186" spans="1:11">
      <c r="A186" s="4">
        <v>9</v>
      </c>
      <c r="B186" s="4">
        <v>20</v>
      </c>
      <c r="C186" s="4">
        <v>0.1193</v>
      </c>
      <c r="D186" s="4">
        <v>-1.555E-2</v>
      </c>
      <c r="E186" s="4">
        <v>-4.6899999999999997E-2</v>
      </c>
      <c r="F186" s="4">
        <v>-3.1220000000000001E-2</v>
      </c>
      <c r="G186" s="4">
        <v>-1.567E-2</v>
      </c>
      <c r="H186" s="4">
        <v>0.1817</v>
      </c>
      <c r="I186" s="4">
        <v>0.1348</v>
      </c>
      <c r="J186" s="19">
        <v>8800</v>
      </c>
      <c r="K186" s="1"/>
    </row>
    <row r="187" spans="1:11">
      <c r="A187" s="4">
        <v>10</v>
      </c>
      <c r="B187" s="4">
        <v>1</v>
      </c>
      <c r="C187" s="4">
        <v>-6.5390000000000004E-2</v>
      </c>
      <c r="D187" s="4">
        <v>-6.3709999999999999E-3</v>
      </c>
      <c r="E187" s="4">
        <v>4.6449999999999998E-2</v>
      </c>
      <c r="F187" s="4">
        <v>2.4160000000000001E-2</v>
      </c>
      <c r="G187" s="4">
        <v>2.2290000000000001E-2</v>
      </c>
      <c r="H187" s="4">
        <v>-0.1055</v>
      </c>
      <c r="I187" s="4">
        <v>-5.9020000000000003E-2</v>
      </c>
      <c r="J187" s="19">
        <v>1200</v>
      </c>
      <c r="K187" s="1"/>
    </row>
    <row r="188" spans="1:11">
      <c r="A188" s="4">
        <v>10</v>
      </c>
      <c r="B188" s="4">
        <v>2</v>
      </c>
      <c r="C188" s="4">
        <v>-2.5360000000000001E-2</v>
      </c>
      <c r="D188" s="4">
        <v>-4.4839999999999998E-2</v>
      </c>
      <c r="E188" s="4">
        <v>5.4289999999999998E-2</v>
      </c>
      <c r="F188" s="4">
        <v>1.303E-2</v>
      </c>
      <c r="G188" s="4">
        <v>4.1259999999999998E-2</v>
      </c>
      <c r="H188" s="4">
        <v>-3.4810000000000001E-2</v>
      </c>
      <c r="I188" s="4">
        <v>1.9480000000000001E-2</v>
      </c>
      <c r="J188" s="19">
        <v>1400</v>
      </c>
      <c r="K188" s="1"/>
    </row>
    <row r="189" spans="1:11">
      <c r="A189" s="4">
        <v>10</v>
      </c>
      <c r="B189" s="4">
        <v>3</v>
      </c>
      <c r="C189" s="4">
        <v>-1.268E-3</v>
      </c>
      <c r="D189" s="4">
        <v>1.0880000000000001E-2</v>
      </c>
      <c r="E189" s="4">
        <v>4.9939999999999998E-2</v>
      </c>
      <c r="F189" s="4">
        <v>1.822E-2</v>
      </c>
      <c r="G189" s="4">
        <v>3.1719999999999998E-2</v>
      </c>
      <c r="H189" s="4">
        <v>-6.2089999999999999E-2</v>
      </c>
      <c r="I189" s="4">
        <v>-1.2149999999999999E-2</v>
      </c>
      <c r="J189" s="19">
        <v>1700</v>
      </c>
      <c r="K189" s="1"/>
    </row>
    <row r="190" spans="1:11">
      <c r="A190" s="4">
        <v>10</v>
      </c>
      <c r="B190" s="4">
        <v>4</v>
      </c>
      <c r="C190" s="4">
        <v>-2.8920000000000001E-2</v>
      </c>
      <c r="D190" s="4">
        <v>-4.2750000000000002E-3</v>
      </c>
      <c r="E190" s="4">
        <v>2.2880000000000001E-2</v>
      </c>
      <c r="F190" s="4">
        <v>1.043E-2</v>
      </c>
      <c r="G190" s="4">
        <v>1.2449999999999999E-2</v>
      </c>
      <c r="H190" s="4">
        <v>-4.7530000000000003E-2</v>
      </c>
      <c r="I190" s="4">
        <v>-2.4649999999999998E-2</v>
      </c>
      <c r="J190" s="19">
        <v>2900</v>
      </c>
      <c r="K190" s="1"/>
    </row>
    <row r="191" spans="1:11">
      <c r="A191" s="4">
        <v>10</v>
      </c>
      <c r="B191" s="4">
        <v>5</v>
      </c>
      <c r="C191" s="4">
        <v>-2.8629999999999999E-2</v>
      </c>
      <c r="D191" s="4">
        <v>-2.5409999999999999E-2</v>
      </c>
      <c r="E191" s="4">
        <v>2.0789999999999999E-2</v>
      </c>
      <c r="F191" s="4">
        <v>1.255E-2</v>
      </c>
      <c r="G191" s="4">
        <v>8.2380000000000005E-3</v>
      </c>
      <c r="H191" s="4">
        <v>-2.401E-2</v>
      </c>
      <c r="I191" s="4">
        <v>-3.2139999999999998E-3</v>
      </c>
      <c r="J191" s="19">
        <v>2100</v>
      </c>
      <c r="K191" s="1"/>
    </row>
    <row r="192" spans="1:11">
      <c r="A192" s="4">
        <v>10</v>
      </c>
      <c r="B192" s="4">
        <v>6</v>
      </c>
      <c r="C192" s="4">
        <v>-1.184E-2</v>
      </c>
      <c r="D192" s="4">
        <v>-4.2620000000000002E-3</v>
      </c>
      <c r="E192" s="4">
        <v>2.8979999999999999E-2</v>
      </c>
      <c r="F192" s="4">
        <v>5.868E-3</v>
      </c>
      <c r="G192" s="4">
        <v>2.3109999999999999E-2</v>
      </c>
      <c r="H192" s="4">
        <v>-3.6560000000000002E-2</v>
      </c>
      <c r="I192" s="4">
        <v>-7.5810000000000001E-3</v>
      </c>
      <c r="J192" s="19">
        <v>3100</v>
      </c>
      <c r="K192" s="1"/>
    </row>
    <row r="193" spans="1:11">
      <c r="A193" s="4">
        <v>10</v>
      </c>
      <c r="B193" s="4">
        <v>7</v>
      </c>
      <c r="C193" s="4">
        <v>-3.569E-2</v>
      </c>
      <c r="D193" s="4">
        <v>-5.5250000000000004E-3</v>
      </c>
      <c r="E193" s="4">
        <v>1.4040000000000001E-3</v>
      </c>
      <c r="F193" s="4">
        <v>-1.0290000000000001E-2</v>
      </c>
      <c r="G193" s="4">
        <v>1.1690000000000001E-2</v>
      </c>
      <c r="H193" s="4">
        <v>-3.1570000000000001E-2</v>
      </c>
      <c r="I193" s="4">
        <v>-3.0169999999999999E-2</v>
      </c>
      <c r="J193" s="19">
        <v>2900</v>
      </c>
      <c r="K193" s="1"/>
    </row>
    <row r="194" spans="1:11">
      <c r="A194" s="4">
        <v>10</v>
      </c>
      <c r="B194" s="4">
        <v>8</v>
      </c>
      <c r="C194" s="4">
        <v>-2.3709999999999998E-2</v>
      </c>
      <c r="D194" s="4">
        <v>-1.4149999999999999E-2</v>
      </c>
      <c r="E194" s="4">
        <v>8.5330000000000007E-3</v>
      </c>
      <c r="F194" s="4">
        <v>4.0969999999999999E-3</v>
      </c>
      <c r="G194" s="4">
        <v>4.437E-3</v>
      </c>
      <c r="H194" s="4">
        <v>-1.8100000000000002E-2</v>
      </c>
      <c r="I194" s="4">
        <v>-9.5630000000000003E-3</v>
      </c>
      <c r="J194" s="19">
        <v>5100</v>
      </c>
      <c r="K194" s="1"/>
    </row>
    <row r="195" spans="1:11">
      <c r="A195" s="4">
        <v>10</v>
      </c>
      <c r="B195" s="4">
        <v>9</v>
      </c>
      <c r="C195" s="4">
        <v>-2.393E-2</v>
      </c>
      <c r="D195" s="4">
        <v>-1.6910000000000001E-2</v>
      </c>
      <c r="E195" s="4">
        <v>1.9140000000000001E-2</v>
      </c>
      <c r="F195" s="4">
        <v>2.101E-3</v>
      </c>
      <c r="G195" s="4">
        <v>1.704E-2</v>
      </c>
      <c r="H195" s="4">
        <v>-2.6169999999999999E-2</v>
      </c>
      <c r="I195" s="4">
        <v>-7.0219999999999996E-3</v>
      </c>
      <c r="J195" s="19">
        <v>3800</v>
      </c>
      <c r="K195" s="1"/>
    </row>
    <row r="196" spans="1:11">
      <c r="A196" s="4">
        <v>10</v>
      </c>
      <c r="B196" s="4">
        <v>10</v>
      </c>
      <c r="C196" s="4">
        <v>-1.585E-2</v>
      </c>
      <c r="D196" s="4">
        <v>-3.5279999999999999E-3</v>
      </c>
      <c r="E196" s="4">
        <v>-7.6940000000000003E-3</v>
      </c>
      <c r="F196" s="4">
        <v>-9.9410000000000002E-3</v>
      </c>
      <c r="G196" s="4">
        <v>2.2469999999999999E-3</v>
      </c>
      <c r="H196" s="4">
        <v>-4.6280000000000002E-3</v>
      </c>
      <c r="I196" s="4">
        <v>-1.2319999999999999E-2</v>
      </c>
      <c r="J196" s="19">
        <v>3100</v>
      </c>
      <c r="K196" s="1"/>
    </row>
    <row r="197" spans="1:11">
      <c r="A197" s="4">
        <v>10</v>
      </c>
      <c r="B197" s="4">
        <v>11</v>
      </c>
      <c r="C197" s="4">
        <v>-2.078E-2</v>
      </c>
      <c r="D197" s="4">
        <v>-2.419E-2</v>
      </c>
      <c r="E197" s="4">
        <v>6.4749999999999999E-3</v>
      </c>
      <c r="F197" s="4">
        <v>-2.8E-3</v>
      </c>
      <c r="G197" s="4">
        <v>9.2760000000000099E-3</v>
      </c>
      <c r="H197" s="4">
        <v>-3.0609999999999999E-3</v>
      </c>
      <c r="I197" s="4">
        <v>3.4150000000000001E-3</v>
      </c>
      <c r="J197" s="19">
        <v>5400</v>
      </c>
      <c r="K197" s="1"/>
    </row>
    <row r="198" spans="1:11">
      <c r="A198" s="4">
        <v>10</v>
      </c>
      <c r="B198" s="4">
        <v>12</v>
      </c>
      <c r="C198" s="4">
        <v>-6.8040000000000002E-3</v>
      </c>
      <c r="D198" s="4">
        <v>-1.7950000000000001E-2</v>
      </c>
      <c r="E198" s="4">
        <v>9.8480000000000009E-3</v>
      </c>
      <c r="F198" s="4">
        <v>-2.9609999999999999E-4</v>
      </c>
      <c r="G198" s="4">
        <v>1.014E-2</v>
      </c>
      <c r="H198" s="4">
        <v>1.2999999999999999E-3</v>
      </c>
      <c r="I198" s="4">
        <v>1.115E-2</v>
      </c>
      <c r="J198" s="19">
        <v>8700</v>
      </c>
      <c r="K198" s="1"/>
    </row>
    <row r="199" spans="1:11">
      <c r="A199" s="4">
        <v>10</v>
      </c>
      <c r="B199" s="4">
        <v>13</v>
      </c>
      <c r="C199" s="4">
        <v>3.3449999999999999E-3</v>
      </c>
      <c r="D199" s="4">
        <v>-1.4409999999999999E-2</v>
      </c>
      <c r="E199" s="4">
        <v>1.065E-3</v>
      </c>
      <c r="F199" s="4">
        <v>-6.5189999999999996E-3</v>
      </c>
      <c r="G199" s="4">
        <v>7.5839999999999996E-3</v>
      </c>
      <c r="H199" s="4">
        <v>1.669E-2</v>
      </c>
      <c r="I199" s="4">
        <v>1.7760000000000001E-2</v>
      </c>
      <c r="J199" s="19">
        <v>8900</v>
      </c>
      <c r="K199" s="1"/>
    </row>
    <row r="200" spans="1:11">
      <c r="A200" s="4">
        <v>10</v>
      </c>
      <c r="B200" s="4">
        <v>14</v>
      </c>
      <c r="C200" s="4">
        <v>-3.6749999999999999E-3</v>
      </c>
      <c r="D200" s="4">
        <v>-1.7860000000000001E-2</v>
      </c>
      <c r="E200" s="4">
        <v>-2.8E-3</v>
      </c>
      <c r="F200" s="4">
        <v>-1.0030000000000001E-2</v>
      </c>
      <c r="G200" s="4">
        <v>7.2319999999999997E-3</v>
      </c>
      <c r="H200" s="4">
        <v>1.6990000000000002E-2</v>
      </c>
      <c r="I200" s="4">
        <v>1.4189999999999999E-2</v>
      </c>
      <c r="J200" s="19">
        <v>10500</v>
      </c>
      <c r="K200" s="1"/>
    </row>
    <row r="201" spans="1:11">
      <c r="A201" s="4">
        <v>10</v>
      </c>
      <c r="B201" s="4">
        <v>15</v>
      </c>
      <c r="C201" s="4">
        <v>-1.1000000000000001E-3</v>
      </c>
      <c r="D201" s="4">
        <v>-1.328E-2</v>
      </c>
      <c r="E201" s="4">
        <v>4.2810000000000001E-3</v>
      </c>
      <c r="F201" s="4">
        <v>-1.0240000000000001E-2</v>
      </c>
      <c r="G201" s="4">
        <v>1.453E-2</v>
      </c>
      <c r="H201" s="4">
        <v>7.9000000000000008E-3</v>
      </c>
      <c r="I201" s="4">
        <v>1.218E-2</v>
      </c>
      <c r="J201" s="19">
        <v>11500</v>
      </c>
      <c r="K201" s="1"/>
    </row>
    <row r="202" spans="1:11">
      <c r="A202" s="4">
        <v>10</v>
      </c>
      <c r="B202" s="4">
        <v>16</v>
      </c>
      <c r="C202" s="4">
        <v>1.447E-2</v>
      </c>
      <c r="D202" s="4">
        <v>-1.4760000000000001E-2</v>
      </c>
      <c r="E202" s="4">
        <v>2.1949999999999999E-3</v>
      </c>
      <c r="F202" s="4">
        <v>-1.0070000000000001E-2</v>
      </c>
      <c r="G202" s="4">
        <v>1.227E-2</v>
      </c>
      <c r="H202" s="4">
        <v>2.7029999999999998E-2</v>
      </c>
      <c r="I202" s="4">
        <v>2.9229999999999999E-2</v>
      </c>
      <c r="J202" s="19">
        <v>17500</v>
      </c>
      <c r="K202" s="1"/>
    </row>
    <row r="203" spans="1:11">
      <c r="A203" s="4">
        <v>10</v>
      </c>
      <c r="B203" s="4">
        <v>17</v>
      </c>
      <c r="C203" s="4">
        <v>8.7880000000000007E-3</v>
      </c>
      <c r="D203" s="4">
        <v>-2.2110000000000001E-2</v>
      </c>
      <c r="E203" s="4">
        <v>-1.2409999999999999E-2</v>
      </c>
      <c r="F203" s="4">
        <v>-2.4570000000000002E-2</v>
      </c>
      <c r="G203" s="4">
        <v>1.217E-2</v>
      </c>
      <c r="H203" s="4">
        <v>4.3310000000000001E-2</v>
      </c>
      <c r="I203" s="4">
        <v>3.09E-2</v>
      </c>
      <c r="J203" s="19">
        <v>16500</v>
      </c>
      <c r="K203" s="1"/>
    </row>
    <row r="204" spans="1:11">
      <c r="A204" s="4">
        <v>10</v>
      </c>
      <c r="B204" s="4">
        <v>18</v>
      </c>
      <c r="C204" s="4">
        <v>2.6839999999999999E-2</v>
      </c>
      <c r="D204" s="4">
        <v>-1.324E-2</v>
      </c>
      <c r="E204" s="4">
        <v>-1.5679999999999999E-2</v>
      </c>
      <c r="F204" s="4">
        <v>-2.495E-2</v>
      </c>
      <c r="G204" s="4">
        <v>9.2680000000000002E-3</v>
      </c>
      <c r="H204" s="4">
        <v>5.5759999999999997E-2</v>
      </c>
      <c r="I204" s="4">
        <v>4.0079999999999998E-2</v>
      </c>
      <c r="J204" s="19">
        <v>14500</v>
      </c>
      <c r="K204" s="1"/>
    </row>
    <row r="205" spans="1:11">
      <c r="A205" s="4">
        <v>10</v>
      </c>
      <c r="B205" s="4">
        <v>19</v>
      </c>
      <c r="C205" s="4">
        <v>3.2230000000000002E-2</v>
      </c>
      <c r="D205" s="4">
        <v>-2.41E-2</v>
      </c>
      <c r="E205" s="4">
        <v>-2.087E-2</v>
      </c>
      <c r="F205" s="4">
        <v>-3.1669999999999997E-2</v>
      </c>
      <c r="G205" s="4">
        <v>1.081E-2</v>
      </c>
      <c r="H205" s="4">
        <v>7.7200000000000005E-2</v>
      </c>
      <c r="I205" s="4">
        <v>5.6329999999999998E-2</v>
      </c>
      <c r="J205" s="19">
        <v>14000</v>
      </c>
      <c r="K205" s="1"/>
    </row>
    <row r="206" spans="1:11">
      <c r="A206" s="4">
        <v>10</v>
      </c>
      <c r="B206" s="4">
        <v>20</v>
      </c>
      <c r="C206" s="4">
        <v>0.1023</v>
      </c>
      <c r="D206" s="4">
        <v>-1.5599999999999999E-2</v>
      </c>
      <c r="E206" s="4">
        <v>-5.0950000000000002E-2</v>
      </c>
      <c r="F206" s="4">
        <v>-4.4650000000000002E-2</v>
      </c>
      <c r="G206" s="4">
        <v>-6.2969999999999996E-3</v>
      </c>
      <c r="H206" s="4">
        <v>0.16889999999999999</v>
      </c>
      <c r="I206" s="4">
        <v>0.1179</v>
      </c>
      <c r="J206" s="19">
        <v>8900</v>
      </c>
      <c r="K206" s="1"/>
    </row>
    <row r="207" spans="1:11">
      <c r="A207" s="4">
        <v>11</v>
      </c>
      <c r="B207" s="4">
        <v>1</v>
      </c>
      <c r="C207" s="4">
        <v>-4.5510000000000002E-2</v>
      </c>
      <c r="D207" s="4">
        <v>1.1010000000000001E-2</v>
      </c>
      <c r="E207" s="4">
        <v>6.3950000000000007E-2</v>
      </c>
      <c r="F207" s="4">
        <v>3.1789999999999999E-2</v>
      </c>
      <c r="G207" s="4">
        <v>3.2160000000000001E-2</v>
      </c>
      <c r="H207" s="4">
        <v>-0.1205</v>
      </c>
      <c r="I207" s="4">
        <v>-5.6520000000000001E-2</v>
      </c>
      <c r="J207" s="19">
        <v>800</v>
      </c>
      <c r="K207" s="1"/>
    </row>
    <row r="208" spans="1:11">
      <c r="A208" s="4">
        <v>11</v>
      </c>
      <c r="B208" s="4">
        <v>2</v>
      </c>
      <c r="C208" s="4">
        <v>-3.4299999999999997E-2</v>
      </c>
      <c r="D208" s="4">
        <v>-8.9879999999999995E-3</v>
      </c>
      <c r="E208" s="4">
        <v>5.772E-2</v>
      </c>
      <c r="F208" s="4">
        <v>1.949E-2</v>
      </c>
      <c r="G208" s="4">
        <v>3.8240000000000003E-2</v>
      </c>
      <c r="H208" s="4">
        <v>-8.3040000000000003E-2</v>
      </c>
      <c r="I208" s="4">
        <v>-2.5319999999999999E-2</v>
      </c>
      <c r="J208" s="19">
        <v>1900</v>
      </c>
      <c r="K208" s="1"/>
    </row>
    <row r="209" spans="1:11">
      <c r="A209" s="4">
        <v>11</v>
      </c>
      <c r="B209" s="4">
        <v>3</v>
      </c>
      <c r="C209" s="4">
        <v>-3.8620000000000002E-2</v>
      </c>
      <c r="D209" s="4">
        <v>-1.3010000000000001E-2</v>
      </c>
      <c r="E209" s="4">
        <v>4.6550000000000001E-2</v>
      </c>
      <c r="F209" s="4">
        <v>2.5139999999999999E-2</v>
      </c>
      <c r="G209" s="4">
        <v>2.1409999999999998E-2</v>
      </c>
      <c r="H209" s="4">
        <v>-7.2160000000000002E-2</v>
      </c>
      <c r="I209" s="4">
        <v>-2.5610000000000001E-2</v>
      </c>
      <c r="J209" s="19">
        <v>1600</v>
      </c>
      <c r="K209" s="1"/>
    </row>
    <row r="210" spans="1:11">
      <c r="A210" s="4">
        <v>11</v>
      </c>
      <c r="B210" s="4">
        <v>4</v>
      </c>
      <c r="C210" s="4">
        <v>-4.2599999999999999E-2</v>
      </c>
      <c r="D210" s="4">
        <v>-1.7940000000000001E-2</v>
      </c>
      <c r="E210" s="4">
        <v>3.9629999999999999E-2</v>
      </c>
      <c r="F210" s="4">
        <v>2.3599999999999999E-2</v>
      </c>
      <c r="G210" s="4">
        <v>1.6029999999999999E-2</v>
      </c>
      <c r="H210" s="4">
        <v>-6.429E-2</v>
      </c>
      <c r="I210" s="4">
        <v>-2.4660000000000001E-2</v>
      </c>
      <c r="J210" s="19">
        <v>1500</v>
      </c>
      <c r="K210" s="1"/>
    </row>
    <row r="211" spans="1:11">
      <c r="A211" s="4">
        <v>11</v>
      </c>
      <c r="B211" s="4">
        <v>5</v>
      </c>
      <c r="C211" s="4">
        <v>-3.6470000000000002E-2</v>
      </c>
      <c r="D211" s="4">
        <v>-4.9719999999999999E-3</v>
      </c>
      <c r="E211" s="4">
        <v>1.342E-2</v>
      </c>
      <c r="F211" s="4">
        <v>1.841E-4</v>
      </c>
      <c r="G211" s="4">
        <v>1.323E-2</v>
      </c>
      <c r="H211" s="4">
        <v>-4.4920000000000002E-2</v>
      </c>
      <c r="I211" s="4">
        <v>-3.15E-2</v>
      </c>
      <c r="J211" s="19">
        <v>3700</v>
      </c>
      <c r="K211" s="1"/>
    </row>
    <row r="212" spans="1:11">
      <c r="A212" s="4">
        <v>11</v>
      </c>
      <c r="B212" s="4">
        <v>6</v>
      </c>
      <c r="C212" s="4">
        <v>-2.164E-2</v>
      </c>
      <c r="D212" s="4">
        <v>-2.9139999999999999E-3</v>
      </c>
      <c r="E212" s="4">
        <v>2.5999999999999999E-2</v>
      </c>
      <c r="F212" s="4">
        <v>3.2569999999999999E-3</v>
      </c>
      <c r="G212" s="4">
        <v>2.274E-2</v>
      </c>
      <c r="H212" s="4">
        <v>-4.4729999999999999E-2</v>
      </c>
      <c r="I212" s="4">
        <v>-1.873E-2</v>
      </c>
      <c r="J212" s="19">
        <v>3700</v>
      </c>
      <c r="K212" s="1"/>
    </row>
    <row r="213" spans="1:11">
      <c r="A213" s="4">
        <v>11</v>
      </c>
      <c r="B213" s="4">
        <v>7</v>
      </c>
      <c r="C213" s="4">
        <v>-2.291E-2</v>
      </c>
      <c r="D213" s="4">
        <v>-4.705E-3</v>
      </c>
      <c r="E213" s="4">
        <v>1.0959999999999999E-2</v>
      </c>
      <c r="F213" s="4">
        <v>1.3680000000000001E-3</v>
      </c>
      <c r="G213" s="4">
        <v>9.5930000000000008E-3</v>
      </c>
      <c r="H213" s="4">
        <v>-2.9159999999999998E-2</v>
      </c>
      <c r="I213" s="4">
        <v>-1.8200000000000001E-2</v>
      </c>
      <c r="J213" s="19">
        <v>2200</v>
      </c>
      <c r="K213" s="1"/>
    </row>
    <row r="214" spans="1:11">
      <c r="A214" s="4">
        <v>11</v>
      </c>
      <c r="B214" s="4">
        <v>8</v>
      </c>
      <c r="C214" s="4">
        <v>-3.4119999999999998E-2</v>
      </c>
      <c r="D214" s="4">
        <v>-1.823E-2</v>
      </c>
      <c r="E214" s="4">
        <v>7.1609999999999998E-3</v>
      </c>
      <c r="F214" s="4">
        <v>-6.8139999999999997E-3</v>
      </c>
      <c r="G214" s="4">
        <v>1.397E-2</v>
      </c>
      <c r="H214" s="4">
        <v>-2.3040000000000001E-2</v>
      </c>
      <c r="I214" s="4">
        <v>-1.5879999999999998E-2</v>
      </c>
      <c r="J214" s="19">
        <v>3300</v>
      </c>
      <c r="K214" s="1"/>
    </row>
    <row r="215" spans="1:11">
      <c r="A215" s="4">
        <v>11</v>
      </c>
      <c r="B215" s="4">
        <v>9</v>
      </c>
      <c r="C215" s="4">
        <v>-1.3809999999999999E-2</v>
      </c>
      <c r="D215" s="4">
        <v>-1.4030000000000001E-2</v>
      </c>
      <c r="E215" s="4">
        <v>1.8180000000000002E-2</v>
      </c>
      <c r="F215" s="4">
        <v>1.9889999999999999E-3</v>
      </c>
      <c r="G215" s="4">
        <v>1.619E-2</v>
      </c>
      <c r="H215" s="4">
        <v>-1.797E-2</v>
      </c>
      <c r="I215" s="4">
        <v>2.1489999999999999E-4</v>
      </c>
      <c r="J215" s="19">
        <v>3300</v>
      </c>
      <c r="K215" s="1"/>
    </row>
    <row r="216" spans="1:11">
      <c r="A216" s="4">
        <v>11</v>
      </c>
      <c r="B216" s="4">
        <v>10</v>
      </c>
      <c r="C216" s="4">
        <v>-3.7629999999999999E-3</v>
      </c>
      <c r="D216" s="4">
        <v>-1.881E-2</v>
      </c>
      <c r="E216" s="4">
        <v>1.248E-2</v>
      </c>
      <c r="F216" s="4">
        <v>4.1539999999999997E-3</v>
      </c>
      <c r="G216" s="4">
        <v>8.3269999999999993E-3</v>
      </c>
      <c r="H216" s="4">
        <v>2.568E-3</v>
      </c>
      <c r="I216" s="4">
        <v>1.5049999999999999E-2</v>
      </c>
      <c r="J216" s="19">
        <v>6000</v>
      </c>
      <c r="K216" s="1"/>
    </row>
    <row r="217" spans="1:11">
      <c r="A217" s="4">
        <v>11</v>
      </c>
      <c r="B217" s="4">
        <v>11</v>
      </c>
      <c r="C217" s="4">
        <v>-1.498E-2</v>
      </c>
      <c r="D217" s="4">
        <v>-1.8839999999999999E-2</v>
      </c>
      <c r="E217" s="4">
        <v>4.6340000000000001E-3</v>
      </c>
      <c r="F217" s="4">
        <v>-3.5309999999999999E-3</v>
      </c>
      <c r="G217" s="4">
        <v>8.1650000000000004E-3</v>
      </c>
      <c r="H217" s="4">
        <v>-7.7550000000000004E-4</v>
      </c>
      <c r="I217" s="4">
        <v>3.859E-3</v>
      </c>
      <c r="J217" s="19">
        <v>4500</v>
      </c>
      <c r="K217" s="1"/>
    </row>
    <row r="218" spans="1:11">
      <c r="A218" s="4">
        <v>11</v>
      </c>
      <c r="B218" s="4">
        <v>12</v>
      </c>
      <c r="C218" s="4">
        <v>-1.023E-2</v>
      </c>
      <c r="D218" s="4">
        <v>-1.677E-2</v>
      </c>
      <c r="E218" s="4">
        <v>3.5660000000000002E-3</v>
      </c>
      <c r="F218" s="4">
        <v>-5.0530000000000002E-3</v>
      </c>
      <c r="G218" s="4">
        <v>8.6180000000000007E-3</v>
      </c>
      <c r="H218" s="4">
        <v>2.9810000000000001E-3</v>
      </c>
      <c r="I218" s="4">
        <v>6.5459999999999997E-3</v>
      </c>
      <c r="J218" s="19">
        <v>7000</v>
      </c>
      <c r="K218" s="1"/>
    </row>
    <row r="219" spans="1:11">
      <c r="A219" s="4">
        <v>11</v>
      </c>
      <c r="B219" s="4">
        <v>13</v>
      </c>
      <c r="C219" s="4">
        <v>1.784E-3</v>
      </c>
      <c r="D219" s="4">
        <v>-3.5750000000000001E-3</v>
      </c>
      <c r="E219" s="4">
        <v>5.3359999999999996E-3</v>
      </c>
      <c r="F219" s="4">
        <v>-7.8499999999999993E-3</v>
      </c>
      <c r="G219" s="4">
        <v>1.319E-2</v>
      </c>
      <c r="H219" s="4">
        <v>2.2759999999999999E-5</v>
      </c>
      <c r="I219" s="4">
        <v>5.359E-3</v>
      </c>
      <c r="J219" s="19">
        <v>5600</v>
      </c>
      <c r="K219" s="1"/>
    </row>
    <row r="220" spans="1:11">
      <c r="A220" s="4">
        <v>11</v>
      </c>
      <c r="B220" s="4">
        <v>14</v>
      </c>
      <c r="C220" s="4">
        <v>-2.078E-2</v>
      </c>
      <c r="D220" s="4">
        <v>-2.1049999999999999E-2</v>
      </c>
      <c r="E220" s="4">
        <v>-7.7850000000000003E-3</v>
      </c>
      <c r="F220" s="4">
        <v>-1.8749999999999999E-2</v>
      </c>
      <c r="G220" s="4">
        <v>1.0959999999999999E-2</v>
      </c>
      <c r="H220" s="4">
        <v>8.0560000000000007E-3</v>
      </c>
      <c r="I220" s="4">
        <v>2.7119999999999998E-4</v>
      </c>
      <c r="J220" s="19">
        <v>6600</v>
      </c>
      <c r="K220" s="1"/>
    </row>
    <row r="221" spans="1:11">
      <c r="A221" s="4">
        <v>11</v>
      </c>
      <c r="B221" s="4">
        <v>15</v>
      </c>
      <c r="C221" s="4">
        <v>1.0109999999999999E-2</v>
      </c>
      <c r="D221" s="4">
        <v>-8.9730000000000001E-3</v>
      </c>
      <c r="E221" s="4">
        <v>3.8440000000000002E-3</v>
      </c>
      <c r="F221" s="4">
        <v>-5.9820000000000003E-3</v>
      </c>
      <c r="G221" s="4">
        <v>9.8259999999999997E-3</v>
      </c>
      <c r="H221" s="4">
        <v>1.524E-2</v>
      </c>
      <c r="I221" s="4">
        <v>1.9089999999999999E-2</v>
      </c>
      <c r="J221" s="19">
        <v>12000</v>
      </c>
      <c r="K221" s="1"/>
    </row>
    <row r="222" spans="1:11">
      <c r="A222" s="4">
        <v>11</v>
      </c>
      <c r="B222" s="4">
        <v>16</v>
      </c>
      <c r="C222" s="4">
        <v>4.516E-3</v>
      </c>
      <c r="D222" s="4">
        <v>-1.2500000000000001E-2</v>
      </c>
      <c r="E222" s="4">
        <v>-1.35E-2</v>
      </c>
      <c r="F222" s="4">
        <v>-1.8450000000000001E-2</v>
      </c>
      <c r="G222" s="4">
        <v>4.9490000000000003E-3</v>
      </c>
      <c r="H222" s="4">
        <v>3.0519999999999999E-2</v>
      </c>
      <c r="I222" s="4">
        <v>1.702E-2</v>
      </c>
      <c r="J222" s="19">
        <v>11500</v>
      </c>
      <c r="K222" s="1"/>
    </row>
    <row r="223" spans="1:11">
      <c r="A223" s="4">
        <v>11</v>
      </c>
      <c r="B223" s="4">
        <v>17</v>
      </c>
      <c r="C223" s="4">
        <v>4.8409999999999998E-3</v>
      </c>
      <c r="D223" s="4">
        <v>-2.613E-2</v>
      </c>
      <c r="E223" s="4">
        <v>-1.3769999999999999E-2</v>
      </c>
      <c r="F223" s="4">
        <v>-1.438E-2</v>
      </c>
      <c r="G223" s="4">
        <v>6.0860000000000005E-4</v>
      </c>
      <c r="H223" s="4">
        <v>4.4740000000000002E-2</v>
      </c>
      <c r="I223" s="4">
        <v>3.0970000000000001E-2</v>
      </c>
      <c r="J223" s="19">
        <v>14500</v>
      </c>
      <c r="K223" s="1"/>
    </row>
    <row r="224" spans="1:11">
      <c r="A224" s="4">
        <v>11</v>
      </c>
      <c r="B224" s="4">
        <v>18</v>
      </c>
      <c r="C224" s="4">
        <v>1.26E-2</v>
      </c>
      <c r="D224" s="4">
        <v>-1.6389999999999998E-2</v>
      </c>
      <c r="E224" s="4">
        <v>-2.5399999999999999E-2</v>
      </c>
      <c r="F224" s="4">
        <v>-3.2660000000000002E-2</v>
      </c>
      <c r="G224" s="4">
        <v>7.254E-3</v>
      </c>
      <c r="H224" s="4">
        <v>5.4399999999999997E-2</v>
      </c>
      <c r="I224" s="4">
        <v>2.8989999999999998E-2</v>
      </c>
      <c r="J224" s="19">
        <v>27000</v>
      </c>
      <c r="K224" s="1"/>
    </row>
    <row r="225" spans="1:11">
      <c r="A225" s="4">
        <v>11</v>
      </c>
      <c r="B225" s="4">
        <v>19</v>
      </c>
      <c r="C225" s="4">
        <v>3.2419999999999997E-2</v>
      </c>
      <c r="D225" s="4">
        <v>-2.5499999999999998E-2</v>
      </c>
      <c r="E225" s="4">
        <v>-2.0490000000000001E-2</v>
      </c>
      <c r="F225" s="4">
        <v>-3.0089999999999999E-2</v>
      </c>
      <c r="G225" s="4">
        <v>9.6039999999999997E-3</v>
      </c>
      <c r="H225" s="4">
        <v>7.8400000000000095E-2</v>
      </c>
      <c r="I225" s="4">
        <v>5.7919999999999999E-2</v>
      </c>
      <c r="J225" s="19">
        <v>17500</v>
      </c>
      <c r="K225" s="1"/>
    </row>
    <row r="226" spans="1:11">
      <c r="A226" s="4">
        <v>11</v>
      </c>
      <c r="B226" s="4">
        <v>20</v>
      </c>
      <c r="C226" s="4">
        <v>0.1043</v>
      </c>
      <c r="D226" s="4">
        <v>-1.5259999999999999E-2</v>
      </c>
      <c r="E226" s="4">
        <v>-5.5109999999999999E-2</v>
      </c>
      <c r="F226" s="4">
        <v>-4.4179999999999997E-2</v>
      </c>
      <c r="G226" s="4">
        <v>-1.094E-2</v>
      </c>
      <c r="H226" s="4">
        <v>0.17460000000000001</v>
      </c>
      <c r="I226" s="4">
        <v>0.1195</v>
      </c>
      <c r="J226" s="19">
        <v>10500</v>
      </c>
      <c r="K226" s="1"/>
    </row>
    <row r="227" spans="1:11">
      <c r="A227" s="4">
        <v>12</v>
      </c>
      <c r="B227" s="4">
        <v>1</v>
      </c>
      <c r="C227" s="4">
        <v>-5.6439999999999997E-2</v>
      </c>
      <c r="D227" s="4">
        <v>-1.592E-2</v>
      </c>
      <c r="E227" s="4">
        <v>5.4609999999999999E-2</v>
      </c>
      <c r="F227" s="4">
        <v>4.2799999999999998E-2</v>
      </c>
      <c r="G227" s="4">
        <v>1.1809999999999999E-2</v>
      </c>
      <c r="H227" s="4">
        <v>-9.5140000000000099E-2</v>
      </c>
      <c r="I227" s="4">
        <v>-4.0529999999999997E-2</v>
      </c>
      <c r="J227" s="19">
        <v>500</v>
      </c>
      <c r="K227" s="1"/>
    </row>
    <row r="228" spans="1:11">
      <c r="A228" s="4">
        <v>12</v>
      </c>
      <c r="B228" s="4">
        <v>2</v>
      </c>
      <c r="C228" s="4">
        <v>-2.445E-2</v>
      </c>
      <c r="D228" s="4">
        <v>-8.8699999999999998E-4</v>
      </c>
      <c r="E228" s="4">
        <v>2.887E-2</v>
      </c>
      <c r="F228" s="4">
        <v>2.1700000000000001E-2</v>
      </c>
      <c r="G228" s="4">
        <v>7.1739999999999998E-3</v>
      </c>
      <c r="H228" s="4">
        <v>-5.2429999999999997E-2</v>
      </c>
      <c r="I228" s="4">
        <v>-2.3560000000000001E-2</v>
      </c>
      <c r="J228" s="19">
        <v>1500</v>
      </c>
      <c r="K228" s="1"/>
    </row>
    <row r="229" spans="1:11">
      <c r="A229" s="4">
        <v>12</v>
      </c>
      <c r="B229" s="4">
        <v>3</v>
      </c>
      <c r="C229" s="4">
        <v>-2.026E-2</v>
      </c>
      <c r="D229" s="4">
        <v>-1.261E-2</v>
      </c>
      <c r="E229" s="4">
        <v>3.3869999999999997E-2</v>
      </c>
      <c r="F229" s="4">
        <v>2.811E-2</v>
      </c>
      <c r="G229" s="4">
        <v>5.757E-3</v>
      </c>
      <c r="H229" s="4">
        <v>-4.1529999999999997E-2</v>
      </c>
      <c r="I229" s="4">
        <v>-7.6550000000000003E-3</v>
      </c>
      <c r="J229" s="19">
        <v>1600</v>
      </c>
      <c r="K229" s="1"/>
    </row>
    <row r="230" spans="1:11">
      <c r="A230" s="4">
        <v>12</v>
      </c>
      <c r="B230" s="4">
        <v>4</v>
      </c>
      <c r="C230" s="4">
        <v>-2.5520000000000001E-2</v>
      </c>
      <c r="D230" s="4">
        <v>-1.0619999999999999E-2</v>
      </c>
      <c r="E230" s="4">
        <v>2.435E-2</v>
      </c>
      <c r="F230" s="4">
        <v>1.481E-2</v>
      </c>
      <c r="G230" s="4">
        <v>9.5370000000000003E-3</v>
      </c>
      <c r="H230" s="4">
        <v>-3.9239999999999997E-2</v>
      </c>
      <c r="I230" s="4">
        <v>-1.49E-2</v>
      </c>
      <c r="J230" s="19">
        <v>4200</v>
      </c>
      <c r="K230" s="1"/>
    </row>
    <row r="231" spans="1:11">
      <c r="A231" s="4">
        <v>12</v>
      </c>
      <c r="B231" s="4">
        <v>5</v>
      </c>
      <c r="C231" s="4">
        <v>-2.104E-2</v>
      </c>
      <c r="D231" s="4">
        <v>-1.508E-2</v>
      </c>
      <c r="E231" s="4">
        <v>2.053E-2</v>
      </c>
      <c r="F231" s="4">
        <v>9.4350000000000007E-3</v>
      </c>
      <c r="G231" s="4">
        <v>1.1089999999999999E-2</v>
      </c>
      <c r="H231" s="4">
        <v>-2.649E-2</v>
      </c>
      <c r="I231" s="4">
        <v>-5.96E-3</v>
      </c>
      <c r="J231" s="19">
        <v>6200</v>
      </c>
      <c r="K231" s="1"/>
    </row>
    <row r="232" spans="1:11">
      <c r="A232" s="4">
        <v>12</v>
      </c>
      <c r="B232" s="4">
        <v>6</v>
      </c>
      <c r="C232" s="4">
        <v>4.5330000000000001E-4</v>
      </c>
      <c r="D232" s="4">
        <v>-9.477E-4</v>
      </c>
      <c r="E232" s="4">
        <v>2.452E-2</v>
      </c>
      <c r="F232" s="4">
        <v>1.7690000000000001E-2</v>
      </c>
      <c r="G232" s="4">
        <v>6.8320000000000004E-3</v>
      </c>
      <c r="H232" s="4">
        <v>-2.3120000000000002E-2</v>
      </c>
      <c r="I232" s="4">
        <v>1.4009999999999999E-3</v>
      </c>
      <c r="J232" s="19">
        <v>5700</v>
      </c>
      <c r="K232" s="1"/>
    </row>
    <row r="233" spans="1:11">
      <c r="A233" s="4">
        <v>12</v>
      </c>
      <c r="B233" s="4">
        <v>7</v>
      </c>
      <c r="C233" s="4">
        <v>-8.4679999999999998E-3</v>
      </c>
      <c r="D233" s="4">
        <v>-5.0569999999999999E-3</v>
      </c>
      <c r="E233" s="4">
        <v>1.103E-2</v>
      </c>
      <c r="F233" s="4">
        <v>1.784E-3</v>
      </c>
      <c r="G233" s="4">
        <v>9.25000000000001E-3</v>
      </c>
      <c r="H233" s="4">
        <v>-1.4449999999999999E-2</v>
      </c>
      <c r="I233" s="4">
        <v>-3.411E-3</v>
      </c>
      <c r="J233" s="19">
        <v>6000</v>
      </c>
      <c r="K233" s="1"/>
    </row>
    <row r="234" spans="1:11">
      <c r="A234" s="4">
        <v>12</v>
      </c>
      <c r="B234" s="4">
        <v>8</v>
      </c>
      <c r="C234" s="4">
        <v>-1.154E-2</v>
      </c>
      <c r="D234" s="4">
        <v>-4.2839999999999996E-3</v>
      </c>
      <c r="E234" s="4">
        <v>1.6060000000000001E-2</v>
      </c>
      <c r="F234" s="4">
        <v>3.6740000000000002E-3</v>
      </c>
      <c r="G234" s="4">
        <v>1.238E-2</v>
      </c>
      <c r="H234" s="4">
        <v>-2.3310000000000001E-2</v>
      </c>
      <c r="I234" s="4">
        <v>-7.254E-3</v>
      </c>
      <c r="J234" s="19">
        <v>7300</v>
      </c>
      <c r="K234" s="1"/>
    </row>
    <row r="235" spans="1:11">
      <c r="A235" s="4">
        <v>12</v>
      </c>
      <c r="B235" s="4">
        <v>9</v>
      </c>
      <c r="C235" s="4">
        <v>-6.94E-3</v>
      </c>
      <c r="D235" s="4">
        <v>-8.4659999999999996E-3</v>
      </c>
      <c r="E235" s="4">
        <v>4.653E-3</v>
      </c>
      <c r="F235" s="4">
        <v>-1.2819999999999999E-3</v>
      </c>
      <c r="G235" s="4">
        <v>5.9360000000000003E-3</v>
      </c>
      <c r="H235" s="4">
        <v>-3.127E-3</v>
      </c>
      <c r="I235" s="4">
        <v>1.526E-3</v>
      </c>
      <c r="J235" s="19">
        <v>6500</v>
      </c>
      <c r="K235" s="1"/>
    </row>
    <row r="236" spans="1:11">
      <c r="A236" s="4">
        <v>12</v>
      </c>
      <c r="B236" s="4">
        <v>10</v>
      </c>
      <c r="C236" s="4">
        <v>-9.1430000000000001E-3</v>
      </c>
      <c r="D236" s="4">
        <v>-1.005E-2</v>
      </c>
      <c r="E236" s="4">
        <v>2.519E-3</v>
      </c>
      <c r="F236" s="4">
        <v>-3.4759999999999999E-3</v>
      </c>
      <c r="G236" s="4">
        <v>5.9959999999999996E-3</v>
      </c>
      <c r="H236" s="4">
        <v>-1.6119999999999999E-3</v>
      </c>
      <c r="I236" s="4">
        <v>9.0680000000000003E-4</v>
      </c>
      <c r="J236" s="19">
        <v>8700</v>
      </c>
      <c r="K236" s="1"/>
    </row>
    <row r="237" spans="1:11">
      <c r="A237" s="4">
        <v>12</v>
      </c>
      <c r="B237" s="4">
        <v>11</v>
      </c>
      <c r="C237" s="4">
        <v>-1.9059999999999999E-3</v>
      </c>
      <c r="D237" s="4">
        <v>-1.6029999999999999E-2</v>
      </c>
      <c r="E237" s="4">
        <v>1.7319999999999999E-2</v>
      </c>
      <c r="F237" s="4">
        <v>1.2200000000000001E-2</v>
      </c>
      <c r="G237" s="4">
        <v>5.117E-3</v>
      </c>
      <c r="H237" s="4">
        <v>-3.1900000000000001E-3</v>
      </c>
      <c r="I237" s="4">
        <v>1.413E-2</v>
      </c>
      <c r="J237" s="19">
        <v>6100</v>
      </c>
      <c r="K237" s="1"/>
    </row>
    <row r="238" spans="1:11">
      <c r="A238" s="4">
        <v>12</v>
      </c>
      <c r="B238" s="4">
        <v>12</v>
      </c>
      <c r="C238" s="4">
        <v>-5.8910000000000004E-3</v>
      </c>
      <c r="D238" s="4">
        <v>-1.3950000000000001E-2</v>
      </c>
      <c r="E238" s="4">
        <v>9.6310000000000007E-3</v>
      </c>
      <c r="F238" s="4">
        <v>1.627E-3</v>
      </c>
      <c r="G238" s="4">
        <v>8.0040000000000007E-3</v>
      </c>
      <c r="H238" s="4">
        <v>-1.5690000000000001E-3</v>
      </c>
      <c r="I238" s="4">
        <v>8.0619999999999997E-3</v>
      </c>
      <c r="J238" s="19">
        <v>6900</v>
      </c>
      <c r="K238" s="1"/>
    </row>
    <row r="239" spans="1:11">
      <c r="A239" s="4">
        <v>12</v>
      </c>
      <c r="B239" s="4">
        <v>13</v>
      </c>
      <c r="C239" s="4">
        <v>1.5180000000000001E-2</v>
      </c>
      <c r="D239" s="4">
        <v>-1.3010000000000001E-3</v>
      </c>
      <c r="E239" s="4">
        <v>5.0889999999999998E-3</v>
      </c>
      <c r="F239" s="4">
        <v>-1.0869999999999999E-2</v>
      </c>
      <c r="G239" s="4">
        <v>1.5959999999999998E-2</v>
      </c>
      <c r="H239" s="4">
        <v>1.1390000000000001E-2</v>
      </c>
      <c r="I239" s="4">
        <v>1.6480000000000002E-2</v>
      </c>
      <c r="J239" s="19">
        <v>12500</v>
      </c>
      <c r="K239" s="1"/>
    </row>
    <row r="240" spans="1:11">
      <c r="A240" s="4">
        <v>12</v>
      </c>
      <c r="B240" s="4">
        <v>14</v>
      </c>
      <c r="C240" s="4">
        <v>1.354E-2</v>
      </c>
      <c r="D240" s="4">
        <v>-5.2249999999999996E-3</v>
      </c>
      <c r="E240" s="4">
        <v>-8.2609999999999997E-4</v>
      </c>
      <c r="F240" s="4">
        <v>-3.4710000000000001E-3</v>
      </c>
      <c r="G240" s="4">
        <v>2.6450000000000002E-3</v>
      </c>
      <c r="H240" s="4">
        <v>1.959E-2</v>
      </c>
      <c r="I240" s="4">
        <v>1.8769999999999998E-2</v>
      </c>
      <c r="J240" s="19">
        <v>13500</v>
      </c>
      <c r="K240" s="1"/>
    </row>
    <row r="241" spans="1:11">
      <c r="A241" s="4">
        <v>12</v>
      </c>
      <c r="B241" s="4">
        <v>15</v>
      </c>
      <c r="C241" s="4">
        <v>6.0559999999999998E-3</v>
      </c>
      <c r="D241" s="4">
        <v>-7.7590000000000003E-3</v>
      </c>
      <c r="E241" s="4">
        <v>-5.5979999999999997E-3</v>
      </c>
      <c r="F241" s="4">
        <v>-2.2069999999999999E-2</v>
      </c>
      <c r="G241" s="4">
        <v>1.6469999999999999E-2</v>
      </c>
      <c r="H241" s="4">
        <v>1.941E-2</v>
      </c>
      <c r="I241" s="4">
        <v>1.3809999999999999E-2</v>
      </c>
      <c r="J241" s="19">
        <v>14500</v>
      </c>
      <c r="K241" s="1"/>
    </row>
    <row r="242" spans="1:11">
      <c r="A242" s="4">
        <v>12</v>
      </c>
      <c r="B242" s="4">
        <v>16</v>
      </c>
      <c r="C242" s="4">
        <v>2.1780000000000001E-2</v>
      </c>
      <c r="D242" s="4">
        <v>-8.8249999999999995E-3</v>
      </c>
      <c r="E242" s="4">
        <v>4.1850000000000004E-3</v>
      </c>
      <c r="F242" s="4">
        <v>-1.026E-2</v>
      </c>
      <c r="G242" s="4">
        <v>1.4449999999999999E-2</v>
      </c>
      <c r="H242" s="4">
        <v>2.6419999999999999E-2</v>
      </c>
      <c r="I242" s="4">
        <v>3.0609999999999998E-2</v>
      </c>
      <c r="J242" s="19">
        <v>24000</v>
      </c>
      <c r="K242" s="1"/>
    </row>
    <row r="243" spans="1:11">
      <c r="A243" s="4">
        <v>12</v>
      </c>
      <c r="B243" s="4">
        <v>17</v>
      </c>
      <c r="C243" s="4">
        <v>2.1780000000000001E-2</v>
      </c>
      <c r="D243" s="4">
        <v>-2.3649999999999999E-3</v>
      </c>
      <c r="E243" s="4">
        <v>-1.227E-2</v>
      </c>
      <c r="F243" s="4">
        <v>-2.3619999999999999E-2</v>
      </c>
      <c r="G243" s="4">
        <v>1.1350000000000001E-2</v>
      </c>
      <c r="H243" s="4">
        <v>3.6420000000000001E-2</v>
      </c>
      <c r="I243" s="4">
        <v>2.4140000000000002E-2</v>
      </c>
      <c r="J243" s="19">
        <v>25000</v>
      </c>
      <c r="K243" s="1"/>
    </row>
    <row r="244" spans="1:11">
      <c r="A244" s="4">
        <v>12</v>
      </c>
      <c r="B244" s="4">
        <v>18</v>
      </c>
      <c r="C244" s="4">
        <v>3.243E-2</v>
      </c>
      <c r="D244" s="4">
        <v>-1.227E-2</v>
      </c>
      <c r="E244" s="4">
        <v>-1.966E-2</v>
      </c>
      <c r="F244" s="4">
        <v>-2.3140000000000001E-2</v>
      </c>
      <c r="G244" s="4">
        <v>3.4870000000000001E-3</v>
      </c>
      <c r="H244" s="4">
        <v>6.4360000000000001E-2</v>
      </c>
      <c r="I244" s="4">
        <v>4.471E-2</v>
      </c>
      <c r="J244" s="19">
        <v>23000</v>
      </c>
      <c r="K244" s="1"/>
    </row>
    <row r="245" spans="1:11">
      <c r="A245" s="4">
        <v>12</v>
      </c>
      <c r="B245" s="4">
        <v>19</v>
      </c>
      <c r="C245" s="4">
        <v>3.866E-2</v>
      </c>
      <c r="D245" s="4">
        <v>-2.2190000000000001E-2</v>
      </c>
      <c r="E245" s="4">
        <v>-2.971E-2</v>
      </c>
      <c r="F245" s="4">
        <v>-3.177E-2</v>
      </c>
      <c r="G245" s="4">
        <v>2.0609999999999999E-3</v>
      </c>
      <c r="H245" s="4">
        <v>9.0560000000000002E-2</v>
      </c>
      <c r="I245" s="4">
        <v>6.0850000000000001E-2</v>
      </c>
      <c r="J245" s="19">
        <v>29000</v>
      </c>
      <c r="K245" s="1"/>
    </row>
    <row r="246" spans="1:11">
      <c r="A246" s="4">
        <v>12</v>
      </c>
      <c r="B246" s="4">
        <v>20</v>
      </c>
      <c r="C246" s="4">
        <v>0.1285</v>
      </c>
      <c r="D246" s="4">
        <v>-1.0919999999999999E-2</v>
      </c>
      <c r="E246" s="4">
        <v>-4.1459999999999997E-2</v>
      </c>
      <c r="F246" s="4">
        <v>-3.7019999999999997E-2</v>
      </c>
      <c r="G246" s="4">
        <v>-4.4390000000000002E-3</v>
      </c>
      <c r="H246" s="4">
        <v>0.18090000000000001</v>
      </c>
      <c r="I246" s="4">
        <v>0.1394</v>
      </c>
      <c r="J246" s="19">
        <v>18500</v>
      </c>
      <c r="K246" s="1"/>
    </row>
    <row r="247" spans="1:11">
      <c r="A247" s="4">
        <v>13</v>
      </c>
      <c r="B247" s="4">
        <v>1</v>
      </c>
      <c r="C247" s="4">
        <v>-7.5939999999999994E-2</v>
      </c>
      <c r="D247" s="4">
        <v>-1.4290000000000001E-2</v>
      </c>
      <c r="E247" s="4">
        <v>5.8810000000000001E-2</v>
      </c>
      <c r="F247" s="4">
        <v>3.0609999999999998E-2</v>
      </c>
      <c r="G247" s="4">
        <v>2.8209999999999999E-2</v>
      </c>
      <c r="H247" s="4">
        <v>-0.1205</v>
      </c>
      <c r="I247" s="4">
        <v>-6.1650000000000003E-2</v>
      </c>
      <c r="J247" s="19">
        <v>450</v>
      </c>
      <c r="K247" s="1"/>
    </row>
    <row r="248" spans="1:11">
      <c r="A248" s="4">
        <v>13</v>
      </c>
      <c r="B248" s="4">
        <v>2</v>
      </c>
      <c r="C248" s="4">
        <v>-1.2659999999999999E-2</v>
      </c>
      <c r="D248" s="4">
        <v>3.5620000000000001E-3</v>
      </c>
      <c r="E248" s="4">
        <v>5.62E-2</v>
      </c>
      <c r="F248" s="4">
        <v>3.2340000000000001E-2</v>
      </c>
      <c r="G248" s="4">
        <v>2.3859999999999999E-2</v>
      </c>
      <c r="H248" s="4">
        <v>-7.2419999999999998E-2</v>
      </c>
      <c r="I248" s="4">
        <v>-1.6219999999999998E-2</v>
      </c>
      <c r="J248" s="19">
        <v>2000</v>
      </c>
      <c r="K248" s="1"/>
    </row>
    <row r="249" spans="1:11">
      <c r="A249" s="4">
        <v>13</v>
      </c>
      <c r="B249" s="4">
        <v>3</v>
      </c>
      <c r="C249" s="4">
        <v>-4.3889999999999998E-2</v>
      </c>
      <c r="D249" s="4">
        <v>-1.308E-2</v>
      </c>
      <c r="E249" s="4">
        <v>4.444E-2</v>
      </c>
      <c r="F249" s="4">
        <v>2.9790000000000001E-2</v>
      </c>
      <c r="G249" s="4">
        <v>1.465E-2</v>
      </c>
      <c r="H249" s="4">
        <v>-7.5249999999999997E-2</v>
      </c>
      <c r="I249" s="4">
        <v>-3.0810000000000001E-2</v>
      </c>
      <c r="J249" s="19">
        <v>1900</v>
      </c>
      <c r="K249" s="1"/>
    </row>
    <row r="250" spans="1:11">
      <c r="A250" s="4">
        <v>13</v>
      </c>
      <c r="B250" s="4">
        <v>4</v>
      </c>
      <c r="C250" s="4">
        <v>-1.4080000000000001E-2</v>
      </c>
      <c r="D250" s="4">
        <v>5.3880000000000004E-3</v>
      </c>
      <c r="E250" s="4">
        <v>3.8580000000000003E-2</v>
      </c>
      <c r="F250" s="4">
        <v>3.6940000000000001E-2</v>
      </c>
      <c r="G250" s="4">
        <v>1.6410000000000001E-3</v>
      </c>
      <c r="H250" s="4">
        <v>-5.8040000000000001E-2</v>
      </c>
      <c r="I250" s="4">
        <v>-1.9460000000000002E-2</v>
      </c>
      <c r="J250" s="19">
        <v>8200</v>
      </c>
      <c r="K250" s="1"/>
    </row>
    <row r="251" spans="1:11">
      <c r="A251" s="4">
        <v>13</v>
      </c>
      <c r="B251" s="4">
        <v>5</v>
      </c>
      <c r="C251" s="4">
        <v>-2.2370000000000001E-2</v>
      </c>
      <c r="D251" s="4">
        <v>-6.2420000000000002E-3</v>
      </c>
      <c r="E251" s="4">
        <v>2.027E-2</v>
      </c>
      <c r="F251" s="4">
        <v>1.6289999999999999E-2</v>
      </c>
      <c r="G251" s="4">
        <v>3.9849999999999998E-3</v>
      </c>
      <c r="H251" s="4">
        <v>-3.6400000000000002E-2</v>
      </c>
      <c r="I251" s="4">
        <v>-1.6129999999999999E-2</v>
      </c>
      <c r="J251" s="19">
        <v>2300</v>
      </c>
      <c r="K251" s="1"/>
    </row>
    <row r="252" spans="1:11">
      <c r="A252" s="4">
        <v>13</v>
      </c>
      <c r="B252" s="4">
        <v>6</v>
      </c>
      <c r="C252" s="4">
        <v>-1.018E-2</v>
      </c>
      <c r="D252" s="4">
        <v>-2.1110000000000001E-4</v>
      </c>
      <c r="E252" s="4">
        <v>1.745E-2</v>
      </c>
      <c r="F252" s="4">
        <v>2.307E-2</v>
      </c>
      <c r="G252" s="4">
        <v>-5.6129999999999999E-3</v>
      </c>
      <c r="H252" s="4">
        <v>-2.742E-2</v>
      </c>
      <c r="I252" s="4">
        <v>-9.9649999999999999E-3</v>
      </c>
      <c r="J252" s="19">
        <v>10500</v>
      </c>
      <c r="K252" s="1"/>
    </row>
    <row r="253" spans="1:11">
      <c r="A253" s="4">
        <v>13</v>
      </c>
      <c r="B253" s="4">
        <v>7</v>
      </c>
      <c r="C253" s="4">
        <v>-1.4749999999999999E-2</v>
      </c>
      <c r="D253" s="4">
        <v>-3.248E-3</v>
      </c>
      <c r="E253" s="4">
        <v>3.6299999999999999E-2</v>
      </c>
      <c r="F253" s="4">
        <v>2.2620000000000001E-2</v>
      </c>
      <c r="G253" s="4">
        <v>1.3679999999999999E-2</v>
      </c>
      <c r="H253" s="4">
        <v>-4.7800000000000002E-2</v>
      </c>
      <c r="I253" s="4">
        <v>-1.15E-2</v>
      </c>
      <c r="J253" s="19">
        <v>6300</v>
      </c>
      <c r="K253" s="1"/>
    </row>
    <row r="254" spans="1:11">
      <c r="A254" s="4">
        <v>13</v>
      </c>
      <c r="B254" s="4">
        <v>8</v>
      </c>
      <c r="C254" s="4">
        <v>-2.5180000000000001E-2</v>
      </c>
      <c r="D254" s="4">
        <v>-1.8259999999999998E-2</v>
      </c>
      <c r="E254" s="4">
        <v>2.9829999999999999E-2</v>
      </c>
      <c r="F254" s="4">
        <v>2.462E-2</v>
      </c>
      <c r="G254" s="4">
        <v>5.215E-3</v>
      </c>
      <c r="H254" s="4">
        <v>-3.6749999999999998E-2</v>
      </c>
      <c r="I254" s="4">
        <v>-6.9179999999999997E-3</v>
      </c>
      <c r="J254" s="19">
        <v>6700</v>
      </c>
      <c r="K254" s="1"/>
    </row>
    <row r="255" spans="1:11">
      <c r="A255" s="4">
        <v>13</v>
      </c>
      <c r="B255" s="4">
        <v>9</v>
      </c>
      <c r="C255" s="4">
        <v>6.0590000000000001E-3</v>
      </c>
      <c r="D255" s="4">
        <v>1.8289999999999999E-3</v>
      </c>
      <c r="E255" s="4">
        <v>1.847E-2</v>
      </c>
      <c r="F255" s="4">
        <v>1.6140000000000002E-2</v>
      </c>
      <c r="G255" s="4">
        <v>2.3310000000000002E-3</v>
      </c>
      <c r="H255" s="4">
        <v>-1.4239999999999999E-2</v>
      </c>
      <c r="I255" s="4">
        <v>4.2300000000000003E-3</v>
      </c>
      <c r="J255" s="19">
        <v>6500</v>
      </c>
      <c r="K255" s="1"/>
    </row>
    <row r="256" spans="1:11">
      <c r="A256" s="4">
        <v>13</v>
      </c>
      <c r="B256" s="4">
        <v>10</v>
      </c>
      <c r="C256" s="4">
        <v>-1.6379999999999999E-2</v>
      </c>
      <c r="D256" s="4">
        <v>-2.342E-2</v>
      </c>
      <c r="E256" s="4">
        <v>2.4760000000000001E-2</v>
      </c>
      <c r="F256" s="4">
        <v>1.273E-2</v>
      </c>
      <c r="G256" s="4">
        <v>1.2019999999999999E-2</v>
      </c>
      <c r="H256" s="4">
        <v>-1.772E-2</v>
      </c>
      <c r="I256" s="4">
        <v>7.0359999999999997E-3</v>
      </c>
      <c r="J256" s="19">
        <v>9700</v>
      </c>
      <c r="K256" s="1"/>
    </row>
    <row r="257" spans="1:11">
      <c r="A257" s="4">
        <v>13</v>
      </c>
      <c r="B257" s="4">
        <v>11</v>
      </c>
      <c r="C257" s="4">
        <v>7.6409999999999998E-4</v>
      </c>
      <c r="D257" s="4">
        <v>-8.7729999999999995E-3</v>
      </c>
      <c r="E257" s="4">
        <v>1.001E-2</v>
      </c>
      <c r="F257" s="4">
        <v>8.4969999999999993E-3</v>
      </c>
      <c r="G257" s="4">
        <v>1.518E-3</v>
      </c>
      <c r="H257" s="4">
        <v>-4.772E-4</v>
      </c>
      <c r="I257" s="4">
        <v>9.5370000000000003E-3</v>
      </c>
      <c r="J257" s="19">
        <v>5600</v>
      </c>
      <c r="K257" s="1"/>
    </row>
    <row r="258" spans="1:11">
      <c r="A258" s="4">
        <v>13</v>
      </c>
      <c r="B258" s="4">
        <v>12</v>
      </c>
      <c r="C258" s="4">
        <v>-6.1659999999999996E-3</v>
      </c>
      <c r="D258" s="4">
        <v>-1.141E-2</v>
      </c>
      <c r="E258" s="4">
        <v>1.712E-2</v>
      </c>
      <c r="F258" s="4">
        <v>1.6480000000000002E-2</v>
      </c>
      <c r="G258" s="4">
        <v>6.3219999999999997E-4</v>
      </c>
      <c r="H258" s="4">
        <v>-1.188E-2</v>
      </c>
      <c r="I258" s="4">
        <v>5.241E-3</v>
      </c>
      <c r="J258" s="19">
        <v>12000</v>
      </c>
      <c r="K258" s="1"/>
    </row>
    <row r="259" spans="1:11">
      <c r="A259" s="4">
        <v>13</v>
      </c>
      <c r="B259" s="4">
        <v>13</v>
      </c>
      <c r="C259" s="4">
        <v>3.7880000000000001E-3</v>
      </c>
      <c r="D259" s="4">
        <v>-5.7710000000000001E-3</v>
      </c>
      <c r="E259" s="4">
        <v>1.0160000000000001E-2</v>
      </c>
      <c r="F259" s="4">
        <v>4.5869999999999999E-3</v>
      </c>
      <c r="G259" s="4">
        <v>5.5700000000000003E-3</v>
      </c>
      <c r="H259" s="4">
        <v>-5.976E-4</v>
      </c>
      <c r="I259" s="4">
        <v>9.5589999999999998E-3</v>
      </c>
      <c r="J259" s="19">
        <v>14000</v>
      </c>
      <c r="K259" s="1"/>
    </row>
    <row r="260" spans="1:11">
      <c r="A260" s="4">
        <v>13</v>
      </c>
      <c r="B260" s="4">
        <v>14</v>
      </c>
      <c r="C260" s="4">
        <v>6.3109999999999998E-3</v>
      </c>
      <c r="D260" s="4">
        <v>-1.043E-2</v>
      </c>
      <c r="E260" s="4">
        <v>4.6090000000000002E-3</v>
      </c>
      <c r="F260" s="4">
        <v>4.5389999999999996E-3</v>
      </c>
      <c r="G260" s="4">
        <v>7.0370000000000006E-5</v>
      </c>
      <c r="H260" s="4">
        <v>1.213E-2</v>
      </c>
      <c r="I260" s="4">
        <v>1.6740000000000001E-2</v>
      </c>
      <c r="J260" s="19">
        <v>41500</v>
      </c>
      <c r="K260" s="1"/>
    </row>
    <row r="261" spans="1:11">
      <c r="A261" s="4">
        <v>13</v>
      </c>
      <c r="B261" s="4">
        <v>15</v>
      </c>
      <c r="C261" s="4">
        <v>-1.835E-3</v>
      </c>
      <c r="D261" s="4">
        <v>-1.136E-2</v>
      </c>
      <c r="E261" s="4">
        <v>2.4610000000000001E-3</v>
      </c>
      <c r="F261" s="4">
        <v>-7.0590000000000002E-3</v>
      </c>
      <c r="G261" s="4">
        <v>9.5200000000000007E-3</v>
      </c>
      <c r="H261" s="4">
        <v>7.0629999999999998E-3</v>
      </c>
      <c r="I261" s="4">
        <v>9.5239999999999995E-3</v>
      </c>
      <c r="J261" s="19">
        <v>20000</v>
      </c>
      <c r="K261" s="1"/>
    </row>
    <row r="262" spans="1:11">
      <c r="A262" s="4">
        <v>13</v>
      </c>
      <c r="B262" s="4">
        <v>16</v>
      </c>
      <c r="C262" s="4">
        <v>1.5389999999999999E-2</v>
      </c>
      <c r="D262" s="4">
        <v>-9.3550000000000005E-3</v>
      </c>
      <c r="E262" s="4">
        <v>5.9509999999999997E-3</v>
      </c>
      <c r="F262" s="4">
        <v>4.9789999999999999E-3</v>
      </c>
      <c r="G262" s="4">
        <v>9.7210000000000005E-4</v>
      </c>
      <c r="H262" s="4">
        <v>1.8800000000000001E-2</v>
      </c>
      <c r="I262" s="4">
        <v>2.4750000000000001E-2</v>
      </c>
      <c r="J262" s="19">
        <v>41500</v>
      </c>
      <c r="K262" s="1"/>
    </row>
    <row r="263" spans="1:11">
      <c r="A263" s="4">
        <v>13</v>
      </c>
      <c r="B263" s="4">
        <v>17</v>
      </c>
      <c r="C263" s="4">
        <v>1.7420000000000001E-2</v>
      </c>
      <c r="D263" s="4">
        <v>-1.2959999999999999E-2</v>
      </c>
      <c r="E263" s="4">
        <v>-2.807E-3</v>
      </c>
      <c r="F263" s="4">
        <v>-1.507E-2</v>
      </c>
      <c r="G263" s="4">
        <v>1.226E-2</v>
      </c>
      <c r="H263" s="4">
        <v>3.3189999999999997E-2</v>
      </c>
      <c r="I263" s="4">
        <v>3.0380000000000001E-2</v>
      </c>
      <c r="J263" s="19">
        <v>28500</v>
      </c>
      <c r="K263" s="1"/>
    </row>
    <row r="264" spans="1:11">
      <c r="A264" s="4">
        <v>13</v>
      </c>
      <c r="B264" s="4">
        <v>18</v>
      </c>
      <c r="C264" s="4">
        <v>2.2429999999999999E-2</v>
      </c>
      <c r="D264" s="4">
        <v>-1.7930000000000001E-2</v>
      </c>
      <c r="E264" s="4">
        <v>-3.7000000000000002E-3</v>
      </c>
      <c r="F264" s="4">
        <v>-9.0329999999999994E-3</v>
      </c>
      <c r="G264" s="4">
        <v>5.3330000000000001E-3</v>
      </c>
      <c r="H264" s="4">
        <v>4.4060000000000002E-2</v>
      </c>
      <c r="I264" s="4">
        <v>4.036E-2</v>
      </c>
      <c r="J264" s="19">
        <v>36000</v>
      </c>
      <c r="K264" s="1"/>
    </row>
    <row r="265" spans="1:11">
      <c r="A265" s="4">
        <v>13</v>
      </c>
      <c r="B265" s="4">
        <v>19</v>
      </c>
      <c r="C265" s="4">
        <v>4.2259999999999999E-2</v>
      </c>
      <c r="D265" s="4">
        <v>-2.078E-2</v>
      </c>
      <c r="E265" s="4">
        <v>-1.8489999999999999E-2</v>
      </c>
      <c r="F265" s="4">
        <v>-2.0660000000000001E-2</v>
      </c>
      <c r="G265" s="4">
        <v>2.1700000000000001E-3</v>
      </c>
      <c r="H265" s="4">
        <v>8.1530000000000005E-2</v>
      </c>
      <c r="I265" s="4">
        <v>6.3039999999999999E-2</v>
      </c>
      <c r="J265" s="19">
        <v>21000</v>
      </c>
      <c r="K265" s="1"/>
    </row>
    <row r="266" spans="1:11">
      <c r="A266" s="4">
        <v>13</v>
      </c>
      <c r="B266" s="4">
        <v>20</v>
      </c>
      <c r="C266" s="4">
        <v>0.12180000000000001</v>
      </c>
      <c r="D266" s="4">
        <v>-1.5140000000000001E-2</v>
      </c>
      <c r="E266" s="4">
        <v>-2.358E-2</v>
      </c>
      <c r="F266" s="4">
        <v>-2.1090000000000001E-2</v>
      </c>
      <c r="G266" s="4">
        <v>-2.4919999999999999E-3</v>
      </c>
      <c r="H266" s="4">
        <v>0.1605</v>
      </c>
      <c r="I266" s="4">
        <v>0.13689999999999999</v>
      </c>
      <c r="J266" s="19">
        <v>19000</v>
      </c>
      <c r="K266" s="1"/>
    </row>
    <row r="267" spans="1:11">
      <c r="A267" s="4">
        <v>14</v>
      </c>
      <c r="B267" s="4">
        <v>1</v>
      </c>
      <c r="C267" s="4">
        <v>-5.1299999999999998E-2</v>
      </c>
      <c r="D267" s="4">
        <v>-1.8519999999999998E-2</v>
      </c>
      <c r="E267" s="4">
        <v>5.3289999999999997E-2</v>
      </c>
      <c r="F267" s="4">
        <v>5.62E-2</v>
      </c>
      <c r="G267" s="4">
        <v>-2.9090000000000001E-3</v>
      </c>
      <c r="H267" s="4">
        <v>-8.6080000000000004E-2</v>
      </c>
      <c r="I267" s="4">
        <v>-3.279E-2</v>
      </c>
      <c r="J267" s="19">
        <v>1300</v>
      </c>
      <c r="K267" s="1"/>
    </row>
    <row r="268" spans="1:11">
      <c r="A268" s="4">
        <v>14</v>
      </c>
      <c r="B268" s="4">
        <v>2</v>
      </c>
      <c r="C268" s="4">
        <v>-4.7410000000000001E-2</v>
      </c>
      <c r="D268" s="4">
        <v>-2.264E-2</v>
      </c>
      <c r="E268" s="4">
        <v>4.8140000000000002E-2</v>
      </c>
      <c r="F268" s="4">
        <v>2.8570000000000002E-2</v>
      </c>
      <c r="G268" s="4">
        <v>1.9570000000000001E-2</v>
      </c>
      <c r="H268" s="4">
        <v>-7.2910000000000003E-2</v>
      </c>
      <c r="I268" s="4">
        <v>-2.477E-2</v>
      </c>
      <c r="J268" s="19">
        <v>1200</v>
      </c>
      <c r="K268" s="1"/>
    </row>
    <row r="269" spans="1:11">
      <c r="A269" s="4">
        <v>14</v>
      </c>
      <c r="B269" s="4">
        <v>3</v>
      </c>
      <c r="C269" s="4">
        <v>-2.2589999999999999E-2</v>
      </c>
      <c r="D269" s="4">
        <v>9.443E-3</v>
      </c>
      <c r="E269" s="4">
        <v>3.4819999999999997E-2</v>
      </c>
      <c r="F269" s="4">
        <v>3.6659999999999998E-2</v>
      </c>
      <c r="G269" s="4">
        <v>-1.8389999999999999E-3</v>
      </c>
      <c r="H269" s="4">
        <v>-6.6860000000000003E-2</v>
      </c>
      <c r="I269" s="4">
        <v>-3.2030000000000003E-2</v>
      </c>
      <c r="J269" s="19">
        <v>2100</v>
      </c>
      <c r="K269" s="1"/>
    </row>
    <row r="270" spans="1:11">
      <c r="A270" s="4">
        <v>14</v>
      </c>
      <c r="B270" s="4">
        <v>4</v>
      </c>
      <c r="C270" s="4">
        <v>-2.5839999999999998E-2</v>
      </c>
      <c r="D270" s="4">
        <v>-4.156E-3</v>
      </c>
      <c r="E270" s="4">
        <v>4.7390000000000002E-2</v>
      </c>
      <c r="F270" s="4">
        <v>3.8350000000000002E-2</v>
      </c>
      <c r="G270" s="4">
        <v>9.0430000000000007E-3</v>
      </c>
      <c r="H270" s="4">
        <v>-6.9080000000000003E-2</v>
      </c>
      <c r="I270" s="4">
        <v>-2.1690000000000001E-2</v>
      </c>
      <c r="J270" s="19">
        <v>8200</v>
      </c>
      <c r="K270" s="1"/>
    </row>
    <row r="271" spans="1:11">
      <c r="A271" s="4">
        <v>14</v>
      </c>
      <c r="B271" s="4">
        <v>5</v>
      </c>
      <c r="C271" s="4">
        <v>-1.7819999999999999E-2</v>
      </c>
      <c r="D271" s="4">
        <v>1.2489999999999999E-3</v>
      </c>
      <c r="E271" s="4">
        <v>2.6849999999999999E-2</v>
      </c>
      <c r="F271" s="4">
        <v>2.649E-2</v>
      </c>
      <c r="G271" s="4">
        <v>3.6259999999999998E-4</v>
      </c>
      <c r="H271" s="4">
        <v>-4.5920000000000002E-2</v>
      </c>
      <c r="I271" s="4">
        <v>-1.907E-2</v>
      </c>
      <c r="J271" s="19">
        <v>6600</v>
      </c>
      <c r="K271" s="1"/>
    </row>
    <row r="272" spans="1:11">
      <c r="A272" s="4">
        <v>14</v>
      </c>
      <c r="B272" s="4">
        <v>6</v>
      </c>
      <c r="C272" s="4">
        <v>-1.3599999999999999E-2</v>
      </c>
      <c r="D272" s="4">
        <v>-1.917E-4</v>
      </c>
      <c r="E272" s="4">
        <v>3.4720000000000001E-2</v>
      </c>
      <c r="F272" s="4">
        <v>2.555E-2</v>
      </c>
      <c r="G272" s="4">
        <v>9.1750000000000009E-3</v>
      </c>
      <c r="H272" s="4">
        <v>-4.8129999999999999E-2</v>
      </c>
      <c r="I272" s="4">
        <v>-1.341E-2</v>
      </c>
      <c r="J272" s="19">
        <v>7500</v>
      </c>
      <c r="K272" s="1"/>
    </row>
    <row r="273" spans="1:11">
      <c r="A273" s="4">
        <v>14</v>
      </c>
      <c r="B273" s="4">
        <v>7</v>
      </c>
      <c r="C273" s="4">
        <v>-2.2349999999999998E-2</v>
      </c>
      <c r="D273" s="4">
        <v>-1.179E-2</v>
      </c>
      <c r="E273" s="4">
        <v>4.036E-2</v>
      </c>
      <c r="F273" s="4">
        <v>2.844E-2</v>
      </c>
      <c r="G273" s="4">
        <v>1.192E-2</v>
      </c>
      <c r="H273" s="4">
        <v>-5.0930000000000003E-2</v>
      </c>
      <c r="I273" s="4">
        <v>-1.056E-2</v>
      </c>
      <c r="J273" s="19">
        <v>9000</v>
      </c>
      <c r="K273" s="1"/>
    </row>
    <row r="274" spans="1:11">
      <c r="A274" s="4">
        <v>14</v>
      </c>
      <c r="B274" s="4">
        <v>8</v>
      </c>
      <c r="C274" s="4">
        <v>-6.1139999999999996E-3</v>
      </c>
      <c r="D274" s="4">
        <v>4.62E-3</v>
      </c>
      <c r="E274" s="4">
        <v>3.3099999999999997E-2</v>
      </c>
      <c r="F274" s="4">
        <v>1.7639999999999999E-2</v>
      </c>
      <c r="G274" s="4">
        <v>1.5469999999999999E-2</v>
      </c>
      <c r="H274" s="4">
        <v>-4.3839999999999997E-2</v>
      </c>
      <c r="I274" s="4">
        <v>-1.073E-2</v>
      </c>
      <c r="J274" s="19">
        <v>10500</v>
      </c>
      <c r="K274" s="1"/>
    </row>
    <row r="275" spans="1:11">
      <c r="A275" s="4">
        <v>14</v>
      </c>
      <c r="B275" s="4">
        <v>9</v>
      </c>
      <c r="C275" s="4">
        <v>-8.4469999999999996E-3</v>
      </c>
      <c r="D275" s="4">
        <v>-7.9600000000000001E-3</v>
      </c>
      <c r="E275" s="4">
        <v>2.6519999999999998E-2</v>
      </c>
      <c r="F275" s="4">
        <v>1.515E-2</v>
      </c>
      <c r="G275" s="4">
        <v>1.136E-2</v>
      </c>
      <c r="H275" s="4">
        <v>-2.7E-2</v>
      </c>
      <c r="I275" s="4">
        <v>-4.8730000000000003E-4</v>
      </c>
      <c r="J275" s="19">
        <v>7800</v>
      </c>
      <c r="K275" s="1"/>
    </row>
    <row r="276" spans="1:11">
      <c r="A276" s="4">
        <v>14</v>
      </c>
      <c r="B276" s="4">
        <v>10</v>
      </c>
      <c r="C276" s="4">
        <v>-4.9220000000000002E-3</v>
      </c>
      <c r="D276" s="4">
        <v>-8.3180000000000007E-3</v>
      </c>
      <c r="E276" s="4">
        <v>2.0650000000000002E-2</v>
      </c>
      <c r="F276" s="4">
        <v>1.5049999999999999E-2</v>
      </c>
      <c r="G276" s="4">
        <v>5.5979999999999997E-3</v>
      </c>
      <c r="H276" s="4">
        <v>-1.7250000000000001E-2</v>
      </c>
      <c r="I276" s="4">
        <v>3.3969999999999998E-3</v>
      </c>
      <c r="J276" s="19">
        <v>11000</v>
      </c>
      <c r="K276" s="1"/>
    </row>
    <row r="277" spans="1:11">
      <c r="A277" s="4">
        <v>14</v>
      </c>
      <c r="B277" s="4">
        <v>11</v>
      </c>
      <c r="C277" s="4">
        <v>-1.222E-2</v>
      </c>
      <c r="D277" s="4">
        <v>-1.6109999999999999E-2</v>
      </c>
      <c r="E277" s="4">
        <v>1.3100000000000001E-2</v>
      </c>
      <c r="F277" s="4">
        <v>1.813E-2</v>
      </c>
      <c r="G277" s="4">
        <v>-5.0270000000000002E-3</v>
      </c>
      <c r="H277" s="4">
        <v>-9.2060000000000006E-3</v>
      </c>
      <c r="I277" s="4">
        <v>3.8939999999999999E-3</v>
      </c>
      <c r="J277" s="19">
        <v>6300</v>
      </c>
      <c r="K277" s="1"/>
    </row>
    <row r="278" spans="1:11">
      <c r="A278" s="4">
        <v>14</v>
      </c>
      <c r="B278" s="4">
        <v>12</v>
      </c>
      <c r="C278" s="4">
        <v>-9.0050000000000009E-3</v>
      </c>
      <c r="D278" s="4">
        <v>-9.9290000000000003E-3</v>
      </c>
      <c r="E278" s="4">
        <v>2.1590000000000002E-2</v>
      </c>
      <c r="F278" s="4">
        <v>6.5399999999999998E-3</v>
      </c>
      <c r="G278" s="4">
        <v>1.5049999999999999E-2</v>
      </c>
      <c r="H278" s="4">
        <v>-2.0670000000000001E-2</v>
      </c>
      <c r="I278" s="4">
        <v>9.2449999999999997E-4</v>
      </c>
      <c r="J278" s="19">
        <v>13000</v>
      </c>
      <c r="K278" s="1"/>
    </row>
    <row r="279" spans="1:11">
      <c r="A279" s="4">
        <v>14</v>
      </c>
      <c r="B279" s="4">
        <v>13</v>
      </c>
      <c r="C279" s="4">
        <v>2.1970000000000002E-3</v>
      </c>
      <c r="D279" s="4">
        <v>-1.975E-2</v>
      </c>
      <c r="E279" s="4">
        <v>3.3930000000000002E-2</v>
      </c>
      <c r="F279" s="4">
        <v>1.136E-2</v>
      </c>
      <c r="G279" s="4">
        <v>2.257E-2</v>
      </c>
      <c r="H279" s="4">
        <v>-1.1990000000000001E-2</v>
      </c>
      <c r="I279" s="4">
        <v>2.1950000000000001E-2</v>
      </c>
      <c r="J279" s="19">
        <v>42000</v>
      </c>
      <c r="K279" s="1"/>
    </row>
    <row r="280" spans="1:11">
      <c r="A280" s="4">
        <v>14</v>
      </c>
      <c r="B280" s="4">
        <v>14</v>
      </c>
      <c r="C280" s="4">
        <v>9.8230000000000001E-3</v>
      </c>
      <c r="D280" s="4">
        <v>-1.3749999999999999E-3</v>
      </c>
      <c r="E280" s="4">
        <v>1.213E-2</v>
      </c>
      <c r="F280" s="4">
        <v>8.2970000000000006E-3</v>
      </c>
      <c r="G280" s="4">
        <v>3.8300000000000001E-3</v>
      </c>
      <c r="H280" s="4">
        <v>-9.2869999999999997E-4</v>
      </c>
      <c r="I280" s="4">
        <v>1.12E-2</v>
      </c>
      <c r="J280" s="19">
        <v>18500</v>
      </c>
      <c r="K280" s="1"/>
    </row>
    <row r="281" spans="1:11">
      <c r="A281" s="4">
        <v>14</v>
      </c>
      <c r="B281" s="4">
        <v>15</v>
      </c>
      <c r="C281" s="4">
        <v>-3.248E-3</v>
      </c>
      <c r="D281" s="4">
        <v>-1.2710000000000001E-2</v>
      </c>
      <c r="E281" s="4">
        <v>1.2149999999999999E-2</v>
      </c>
      <c r="F281" s="4">
        <v>-1.762E-4</v>
      </c>
      <c r="G281" s="4">
        <v>1.2319999999999999E-2</v>
      </c>
      <c r="H281" s="4">
        <v>-2.6879999999999999E-3</v>
      </c>
      <c r="I281" s="4">
        <v>9.4599999999999997E-3</v>
      </c>
      <c r="J281" s="19">
        <v>27500</v>
      </c>
      <c r="K281" s="1"/>
    </row>
    <row r="282" spans="1:11">
      <c r="A282" s="4">
        <v>14</v>
      </c>
      <c r="B282" s="4">
        <v>16</v>
      </c>
      <c r="C282" s="4">
        <v>1.2189999999999999E-2</v>
      </c>
      <c r="D282" s="4">
        <v>-1.617E-2</v>
      </c>
      <c r="E282" s="4">
        <v>1.2699999999999999E-2</v>
      </c>
      <c r="F282" s="4">
        <v>6.6169999999999996E-3</v>
      </c>
      <c r="G282" s="4">
        <v>6.0809999999999996E-3</v>
      </c>
      <c r="H282" s="4">
        <v>1.567E-2</v>
      </c>
      <c r="I282" s="4">
        <v>2.836E-2</v>
      </c>
      <c r="J282" s="19">
        <v>34500</v>
      </c>
      <c r="K282" s="1"/>
    </row>
    <row r="283" spans="1:11">
      <c r="A283" s="4">
        <v>14</v>
      </c>
      <c r="B283" s="4">
        <v>17</v>
      </c>
      <c r="C283" s="4">
        <v>1.312E-2</v>
      </c>
      <c r="D283" s="4">
        <v>-1.427E-2</v>
      </c>
      <c r="E283" s="4">
        <v>5.3200000000000001E-3</v>
      </c>
      <c r="F283" s="4">
        <v>-3.9060000000000002E-3</v>
      </c>
      <c r="G283" s="4">
        <v>9.2250000000000006E-3</v>
      </c>
      <c r="H283" s="4">
        <v>2.2069999999999999E-2</v>
      </c>
      <c r="I283" s="4">
        <v>2.7390000000000001E-2</v>
      </c>
      <c r="J283" s="19">
        <v>30000</v>
      </c>
      <c r="K283" s="1"/>
    </row>
    <row r="284" spans="1:11">
      <c r="A284" s="4">
        <v>14</v>
      </c>
      <c r="B284" s="4">
        <v>18</v>
      </c>
      <c r="C284" s="4">
        <v>2.162E-2</v>
      </c>
      <c r="D284" s="4">
        <v>-6.398E-3</v>
      </c>
      <c r="E284" s="4">
        <v>-6.535E-3</v>
      </c>
      <c r="F284" s="4">
        <v>-1.332E-2</v>
      </c>
      <c r="G284" s="4">
        <v>6.7840000000000001E-3</v>
      </c>
      <c r="H284" s="4">
        <v>3.4549999999999997E-2</v>
      </c>
      <c r="I284" s="4">
        <v>2.801E-2</v>
      </c>
      <c r="J284" s="19">
        <v>36000</v>
      </c>
      <c r="K284" s="1"/>
    </row>
    <row r="285" spans="1:11">
      <c r="A285" s="4">
        <v>14</v>
      </c>
      <c r="B285" s="4">
        <v>19</v>
      </c>
      <c r="C285" s="4">
        <v>5.151E-2</v>
      </c>
      <c r="D285" s="4">
        <v>-1.234E-2</v>
      </c>
      <c r="E285" s="4">
        <v>-6.9309999999999997E-3</v>
      </c>
      <c r="F285" s="4">
        <v>-1.5049999999999999E-2</v>
      </c>
      <c r="G285" s="4">
        <v>8.1200000000000005E-3</v>
      </c>
      <c r="H285" s="4">
        <v>7.0779999999999996E-2</v>
      </c>
      <c r="I285" s="4">
        <v>6.3850000000000004E-2</v>
      </c>
      <c r="J285" s="19">
        <v>24500</v>
      </c>
      <c r="K285" s="1"/>
    </row>
    <row r="286" spans="1:11">
      <c r="A286" s="4">
        <v>14</v>
      </c>
      <c r="B286" s="4">
        <v>20</v>
      </c>
      <c r="C286" s="4">
        <v>9.5030000000000003E-2</v>
      </c>
      <c r="D286" s="4">
        <v>-2.07E-2</v>
      </c>
      <c r="E286" s="4">
        <v>-3.4639999999999997E-2</v>
      </c>
      <c r="F286" s="4">
        <v>-3.329E-2</v>
      </c>
      <c r="G286" s="4">
        <v>-1.3489999999999999E-3</v>
      </c>
      <c r="H286" s="4">
        <v>0.15040000000000001</v>
      </c>
      <c r="I286" s="4">
        <v>0.1157</v>
      </c>
      <c r="J286" s="19">
        <v>37000</v>
      </c>
      <c r="K286" s="1"/>
    </row>
    <row r="287" spans="1:11">
      <c r="A287" s="4">
        <v>15</v>
      </c>
      <c r="B287" s="4">
        <v>1</v>
      </c>
      <c r="C287" s="4">
        <v>-8.1199999999999994E-2</v>
      </c>
      <c r="D287" s="4">
        <v>-1.908E-2</v>
      </c>
      <c r="E287" s="4">
        <v>7.1760000000000004E-2</v>
      </c>
      <c r="F287" s="4">
        <v>4.6670000000000003E-2</v>
      </c>
      <c r="G287" s="4">
        <v>2.5090000000000001E-2</v>
      </c>
      <c r="H287" s="4">
        <v>-0.13389999999999999</v>
      </c>
      <c r="I287" s="4">
        <v>-6.2120000000000002E-2</v>
      </c>
      <c r="J287" s="19">
        <v>850</v>
      </c>
      <c r="K287" s="1"/>
    </row>
    <row r="288" spans="1:11">
      <c r="A288" s="4">
        <v>15</v>
      </c>
      <c r="B288" s="4">
        <v>2</v>
      </c>
      <c r="C288" s="4">
        <v>-3.7359999999999997E-2</v>
      </c>
      <c r="D288" s="4">
        <v>-3.1329999999999999E-3</v>
      </c>
      <c r="E288" s="4">
        <v>5.2229999999999999E-2</v>
      </c>
      <c r="F288" s="4">
        <v>3.4380000000000001E-2</v>
      </c>
      <c r="G288" s="4">
        <v>1.7850000000000001E-2</v>
      </c>
      <c r="H288" s="4">
        <v>-8.6459999999999995E-2</v>
      </c>
      <c r="I288" s="4">
        <v>-3.4229999999999997E-2</v>
      </c>
      <c r="J288" s="19">
        <v>1900</v>
      </c>
      <c r="K288" s="1"/>
    </row>
    <row r="289" spans="1:11">
      <c r="A289" s="4">
        <v>15</v>
      </c>
      <c r="B289" s="4">
        <v>3</v>
      </c>
      <c r="C289" s="4">
        <v>-4.7079999999999997E-2</v>
      </c>
      <c r="D289" s="4">
        <v>-1.404E-2</v>
      </c>
      <c r="E289" s="4">
        <v>4.19E-2</v>
      </c>
      <c r="F289" s="4">
        <v>2.4840000000000001E-2</v>
      </c>
      <c r="G289" s="4">
        <v>1.7059999999999999E-2</v>
      </c>
      <c r="H289" s="4">
        <v>-7.4940000000000007E-2</v>
      </c>
      <c r="I289" s="4">
        <v>-3.304E-2</v>
      </c>
      <c r="J289" s="19">
        <v>3100</v>
      </c>
      <c r="K289" s="1"/>
    </row>
    <row r="290" spans="1:11">
      <c r="A290" s="4">
        <v>15</v>
      </c>
      <c r="B290" s="4">
        <v>4</v>
      </c>
      <c r="C290" s="4">
        <v>-5.1569999999999998E-2</v>
      </c>
      <c r="D290" s="4">
        <v>-1.7049999999999999E-2</v>
      </c>
      <c r="E290" s="4">
        <v>2.741E-2</v>
      </c>
      <c r="F290" s="4">
        <v>2.334E-2</v>
      </c>
      <c r="G290" s="4">
        <v>4.0670000000000003E-3</v>
      </c>
      <c r="H290" s="4">
        <v>-6.1920000000000003E-2</v>
      </c>
      <c r="I290" s="4">
        <v>-3.4509999999999999E-2</v>
      </c>
      <c r="J290" s="19">
        <v>2900</v>
      </c>
      <c r="K290" s="1"/>
    </row>
    <row r="291" spans="1:11">
      <c r="A291" s="4">
        <v>15</v>
      </c>
      <c r="B291" s="4">
        <v>5</v>
      </c>
      <c r="C291" s="4">
        <v>-1.0829999999999999E-2</v>
      </c>
      <c r="D291" s="4">
        <v>-3.049E-2</v>
      </c>
      <c r="E291" s="4">
        <v>3.4160000000000003E-2</v>
      </c>
      <c r="F291" s="4">
        <v>2.282E-2</v>
      </c>
      <c r="G291" s="4">
        <v>1.133E-2</v>
      </c>
      <c r="H291" s="4">
        <v>-1.4500000000000001E-2</v>
      </c>
      <c r="I291" s="4">
        <v>1.966E-2</v>
      </c>
      <c r="J291" s="19">
        <v>5700</v>
      </c>
      <c r="K291" s="1"/>
    </row>
    <row r="292" spans="1:11">
      <c r="A292" s="4">
        <v>15</v>
      </c>
      <c r="B292" s="4">
        <v>6</v>
      </c>
      <c r="C292" s="4">
        <v>-2.036E-2</v>
      </c>
      <c r="D292" s="4">
        <v>-6.2549999999999997E-4</v>
      </c>
      <c r="E292" s="4">
        <v>3.3070000000000002E-2</v>
      </c>
      <c r="F292" s="4">
        <v>2.18E-2</v>
      </c>
      <c r="G292" s="4">
        <v>1.1270000000000001E-2</v>
      </c>
      <c r="H292" s="4">
        <v>-5.28E-2</v>
      </c>
      <c r="I292" s="4">
        <v>-1.9730000000000001E-2</v>
      </c>
      <c r="J292" s="19">
        <v>8800</v>
      </c>
      <c r="K292" s="1"/>
    </row>
    <row r="293" spans="1:11">
      <c r="A293" s="4">
        <v>15</v>
      </c>
      <c r="B293" s="4">
        <v>7</v>
      </c>
      <c r="C293" s="4">
        <v>-3.2579999999999998E-2</v>
      </c>
      <c r="D293" s="4">
        <v>-5.365E-3</v>
      </c>
      <c r="E293" s="4">
        <v>2.1229999999999999E-2</v>
      </c>
      <c r="F293" s="4">
        <v>1.4120000000000001E-2</v>
      </c>
      <c r="G293" s="4">
        <v>7.1029999999999999E-3</v>
      </c>
      <c r="H293" s="4">
        <v>-4.8439999999999997E-2</v>
      </c>
      <c r="I293" s="4">
        <v>-2.7220000000000001E-2</v>
      </c>
      <c r="J293" s="19">
        <v>8900</v>
      </c>
      <c r="K293" s="1"/>
    </row>
    <row r="294" spans="1:11">
      <c r="A294" s="4">
        <v>15</v>
      </c>
      <c r="B294" s="4">
        <v>8</v>
      </c>
      <c r="C294" s="4">
        <v>-1.907E-2</v>
      </c>
      <c r="D294" s="4">
        <v>-4.2690000000000002E-3</v>
      </c>
      <c r="E294" s="4">
        <v>2.3050000000000001E-2</v>
      </c>
      <c r="F294" s="4">
        <v>2.4709999999999999E-2</v>
      </c>
      <c r="G294" s="4">
        <v>-1.658E-3</v>
      </c>
      <c r="H294" s="4">
        <v>-3.7850000000000002E-2</v>
      </c>
      <c r="I294" s="4">
        <v>-1.4800000000000001E-2</v>
      </c>
      <c r="J294" s="19">
        <v>6300</v>
      </c>
      <c r="K294" s="1"/>
    </row>
    <row r="295" spans="1:11">
      <c r="A295" s="4">
        <v>15</v>
      </c>
      <c r="B295" s="4">
        <v>9</v>
      </c>
      <c r="C295" s="4">
        <v>-1.158E-2</v>
      </c>
      <c r="D295" s="4">
        <v>1.8890000000000001E-3</v>
      </c>
      <c r="E295" s="4">
        <v>2.0490000000000001E-2</v>
      </c>
      <c r="F295" s="4">
        <v>1.3259999999999999E-2</v>
      </c>
      <c r="G295" s="4">
        <v>7.2240000000000004E-3</v>
      </c>
      <c r="H295" s="4">
        <v>-3.3959999999999997E-2</v>
      </c>
      <c r="I295" s="4">
        <v>-1.3469999999999999E-2</v>
      </c>
      <c r="J295" s="19">
        <v>11000</v>
      </c>
      <c r="K295" s="1"/>
    </row>
    <row r="296" spans="1:11">
      <c r="A296" s="4">
        <v>15</v>
      </c>
      <c r="B296" s="4">
        <v>10</v>
      </c>
      <c r="C296" s="4">
        <v>-1.685E-2</v>
      </c>
      <c r="D296" s="4">
        <v>-1.3849999999999999E-2</v>
      </c>
      <c r="E296" s="4">
        <v>6.8180000000000003E-3</v>
      </c>
      <c r="F296" s="4">
        <v>6.4209999999999996E-3</v>
      </c>
      <c r="G296" s="4">
        <v>3.969E-4</v>
      </c>
      <c r="H296" s="4">
        <v>-9.8169999999999993E-3</v>
      </c>
      <c r="I296" s="4">
        <v>-2.9989999999999999E-3</v>
      </c>
      <c r="J296" s="19">
        <v>11000</v>
      </c>
      <c r="K296" s="1"/>
    </row>
    <row r="297" spans="1:11">
      <c r="A297" s="4">
        <v>15</v>
      </c>
      <c r="B297" s="4">
        <v>11</v>
      </c>
      <c r="C297" s="4">
        <v>-3.3449999999999999E-3</v>
      </c>
      <c r="D297" s="4">
        <v>-1.2229999999999999E-3</v>
      </c>
      <c r="E297" s="4">
        <v>1.3780000000000001E-2</v>
      </c>
      <c r="F297" s="4">
        <v>1.349E-2</v>
      </c>
      <c r="G297" s="4">
        <v>2.8899999999999998E-4</v>
      </c>
      <c r="H297" s="4">
        <v>-1.5900000000000001E-2</v>
      </c>
      <c r="I297" s="4">
        <v>-2.1210000000000001E-3</v>
      </c>
      <c r="J297" s="19">
        <v>11000</v>
      </c>
      <c r="K297" s="1"/>
    </row>
    <row r="298" spans="1:11">
      <c r="A298" s="4">
        <v>15</v>
      </c>
      <c r="B298" s="4">
        <v>12</v>
      </c>
      <c r="C298" s="4">
        <v>-1.043E-2</v>
      </c>
      <c r="D298" s="4">
        <v>-5.8890000000000001E-3</v>
      </c>
      <c r="E298" s="4">
        <v>1.7430000000000001E-2</v>
      </c>
      <c r="F298" s="4">
        <v>1.3939999999999999E-2</v>
      </c>
      <c r="G298" s="4">
        <v>3.483E-3</v>
      </c>
      <c r="H298" s="4">
        <v>-2.197E-2</v>
      </c>
      <c r="I298" s="4">
        <v>-4.5440000000000003E-3</v>
      </c>
      <c r="J298" s="19">
        <v>12500</v>
      </c>
      <c r="K298" s="1"/>
    </row>
    <row r="299" spans="1:11">
      <c r="A299" s="4">
        <v>15</v>
      </c>
      <c r="B299" s="4">
        <v>13</v>
      </c>
      <c r="C299" s="4">
        <v>4.4939999999999997E-3</v>
      </c>
      <c r="D299" s="4">
        <v>-4.1739999999999998E-3</v>
      </c>
      <c r="E299" s="4">
        <v>1.6119999999999999E-2</v>
      </c>
      <c r="F299" s="4">
        <v>6.744E-3</v>
      </c>
      <c r="G299" s="4">
        <v>9.3749999999999997E-3</v>
      </c>
      <c r="H299" s="4">
        <v>-7.45E-3</v>
      </c>
      <c r="I299" s="4">
        <v>8.6680000000000004E-3</v>
      </c>
      <c r="J299" s="19">
        <v>21000</v>
      </c>
      <c r="K299" s="1"/>
    </row>
    <row r="300" spans="1:11">
      <c r="A300" s="4">
        <v>15</v>
      </c>
      <c r="B300" s="4">
        <v>14</v>
      </c>
      <c r="C300" s="4">
        <v>-2.3370000000000001E-3</v>
      </c>
      <c r="D300" s="4">
        <v>-1.0279999999999999E-2</v>
      </c>
      <c r="E300" s="4">
        <v>6.3949999999999996E-3</v>
      </c>
      <c r="F300" s="4">
        <v>2.2669999999999999E-3</v>
      </c>
      <c r="G300" s="4">
        <v>4.1279999999999997E-3</v>
      </c>
      <c r="H300" s="4">
        <v>1.5479999999999999E-3</v>
      </c>
      <c r="I300" s="4">
        <v>7.9430000000000004E-3</v>
      </c>
      <c r="J300" s="19">
        <v>29000</v>
      </c>
      <c r="K300" s="1"/>
    </row>
    <row r="301" spans="1:11">
      <c r="A301" s="4">
        <v>15</v>
      </c>
      <c r="B301" s="4">
        <v>15</v>
      </c>
      <c r="C301" s="4">
        <v>-1.629E-3</v>
      </c>
      <c r="D301" s="4">
        <v>-4.267E-3</v>
      </c>
      <c r="E301" s="4">
        <v>3.7450000000000001E-3</v>
      </c>
      <c r="F301" s="4">
        <v>-4.3769999999999998E-3</v>
      </c>
      <c r="G301" s="4">
        <v>8.1220000000000007E-3</v>
      </c>
      <c r="H301" s="4">
        <v>-1.108E-3</v>
      </c>
      <c r="I301" s="4">
        <v>2.637E-3</v>
      </c>
      <c r="J301" s="19">
        <v>23500</v>
      </c>
      <c r="K301" s="1"/>
    </row>
    <row r="302" spans="1:11">
      <c r="A302" s="4">
        <v>15</v>
      </c>
      <c r="B302" s="4">
        <v>16</v>
      </c>
      <c r="C302" s="4">
        <v>8.9949999999999995E-3</v>
      </c>
      <c r="D302" s="4">
        <v>-6.8719999999999996E-3</v>
      </c>
      <c r="E302" s="4">
        <v>1.0160000000000001E-2</v>
      </c>
      <c r="F302" s="4">
        <v>2.477E-3</v>
      </c>
      <c r="G302" s="4">
        <v>7.6860000000000001E-3</v>
      </c>
      <c r="H302" s="4">
        <v>5.705E-3</v>
      </c>
      <c r="I302" s="4">
        <v>1.5869999999999999E-2</v>
      </c>
      <c r="J302" s="19">
        <v>28000</v>
      </c>
      <c r="K302" s="1"/>
    </row>
    <row r="303" spans="1:11">
      <c r="A303" s="4">
        <v>15</v>
      </c>
      <c r="B303" s="4">
        <v>17</v>
      </c>
      <c r="C303" s="4">
        <v>1.78E-2</v>
      </c>
      <c r="D303" s="4">
        <v>-2.813E-3</v>
      </c>
      <c r="E303" s="4">
        <v>1.2130000000000001E-3</v>
      </c>
      <c r="F303" s="4">
        <v>-1.295E-2</v>
      </c>
      <c r="G303" s="4">
        <v>1.417E-2</v>
      </c>
      <c r="H303" s="4">
        <v>1.9400000000000001E-2</v>
      </c>
      <c r="I303" s="4">
        <v>2.061E-2</v>
      </c>
      <c r="J303" s="19">
        <v>59500</v>
      </c>
      <c r="K303" s="1"/>
    </row>
    <row r="304" spans="1:11">
      <c r="A304" s="4">
        <v>15</v>
      </c>
      <c r="B304" s="4">
        <v>18</v>
      </c>
      <c r="C304" s="4">
        <v>1.8859999999999998E-2</v>
      </c>
      <c r="D304" s="4">
        <v>-1.43E-2</v>
      </c>
      <c r="E304" s="4">
        <v>-4.3870000000000003E-3</v>
      </c>
      <c r="F304" s="4">
        <v>-1.4829999999999999E-2</v>
      </c>
      <c r="G304" s="4">
        <v>1.0449999999999999E-2</v>
      </c>
      <c r="H304" s="4">
        <v>3.7539999999999997E-2</v>
      </c>
      <c r="I304" s="4">
        <v>3.3160000000000002E-2</v>
      </c>
      <c r="J304" s="19">
        <v>61000</v>
      </c>
      <c r="K304" s="1"/>
    </row>
    <row r="305" spans="1:11">
      <c r="A305" s="4">
        <v>15</v>
      </c>
      <c r="B305" s="4">
        <v>19</v>
      </c>
      <c r="C305" s="4">
        <v>3.9530000000000003E-2</v>
      </c>
      <c r="D305" s="4">
        <v>-1.6330000000000001E-2</v>
      </c>
      <c r="E305" s="4">
        <v>-5.7169999999999999E-3</v>
      </c>
      <c r="F305" s="4">
        <v>-1.214E-2</v>
      </c>
      <c r="G305" s="4">
        <v>6.4250000000000002E-3</v>
      </c>
      <c r="H305" s="4">
        <v>6.1580000000000003E-2</v>
      </c>
      <c r="I305" s="4">
        <v>5.5870000000000003E-2</v>
      </c>
      <c r="J305" s="19">
        <v>45000</v>
      </c>
      <c r="K305" s="1"/>
    </row>
    <row r="306" spans="1:11">
      <c r="A306" s="4">
        <v>15</v>
      </c>
      <c r="B306" s="4">
        <v>20</v>
      </c>
      <c r="C306" s="4">
        <v>0.11269999999999999</v>
      </c>
      <c r="D306" s="4">
        <v>-1.0359999999999999E-2</v>
      </c>
      <c r="E306" s="4">
        <v>-2.4840000000000001E-2</v>
      </c>
      <c r="F306" s="4">
        <v>-2.2499999999999999E-2</v>
      </c>
      <c r="G306" s="4">
        <v>-2.3419999999999999E-3</v>
      </c>
      <c r="H306" s="4">
        <v>0.1479</v>
      </c>
      <c r="I306" s="4">
        <v>0.123</v>
      </c>
      <c r="J306" s="19">
        <v>39500</v>
      </c>
      <c r="K306" s="1"/>
    </row>
    <row r="307" spans="1:11">
      <c r="A307" s="4">
        <v>16</v>
      </c>
      <c r="B307" s="4">
        <v>1</v>
      </c>
      <c r="C307" s="4">
        <v>-7.2510000000000005E-2</v>
      </c>
      <c r="D307" s="4">
        <v>5.5960000000000003E-3</v>
      </c>
      <c r="E307" s="4">
        <v>6.2239999999999997E-2</v>
      </c>
      <c r="F307" s="4">
        <v>3.6659999999999998E-2</v>
      </c>
      <c r="G307" s="4">
        <v>2.5590000000000002E-2</v>
      </c>
      <c r="H307" s="4">
        <v>-0.1404</v>
      </c>
      <c r="I307" s="4">
        <v>-7.8109999999999999E-2</v>
      </c>
      <c r="J307" s="19">
        <v>550</v>
      </c>
      <c r="K307" s="1"/>
    </row>
    <row r="308" spans="1:11">
      <c r="A308" s="4">
        <v>16</v>
      </c>
      <c r="B308" s="4">
        <v>2</v>
      </c>
      <c r="C308" s="4">
        <v>-5.2900000000000003E-2</v>
      </c>
      <c r="D308" s="4">
        <v>-1.789E-2</v>
      </c>
      <c r="E308" s="4">
        <v>6.4119999999999996E-2</v>
      </c>
      <c r="F308" s="4">
        <v>4.3180000000000003E-2</v>
      </c>
      <c r="G308" s="4">
        <v>2.094E-2</v>
      </c>
      <c r="H308" s="4">
        <v>-9.9129999999999996E-2</v>
      </c>
      <c r="I308" s="4">
        <v>-3.5020000000000003E-2</v>
      </c>
      <c r="J308" s="19">
        <v>1300</v>
      </c>
      <c r="K308" s="1"/>
    </row>
    <row r="309" spans="1:11">
      <c r="A309" s="4">
        <v>16</v>
      </c>
      <c r="B309" s="4">
        <v>3</v>
      </c>
      <c r="C309" s="4">
        <v>-3.006E-2</v>
      </c>
      <c r="D309" s="4">
        <v>-5.6600000000000001E-3</v>
      </c>
      <c r="E309" s="4">
        <v>4.99E-2</v>
      </c>
      <c r="F309" s="4">
        <v>3.474E-2</v>
      </c>
      <c r="G309" s="4">
        <v>1.516E-2</v>
      </c>
      <c r="H309" s="4">
        <v>-7.4300000000000005E-2</v>
      </c>
      <c r="I309" s="4">
        <v>-2.4400000000000002E-2</v>
      </c>
      <c r="J309" s="19">
        <v>4000</v>
      </c>
      <c r="K309" s="1"/>
    </row>
    <row r="310" spans="1:11">
      <c r="A310" s="4">
        <v>16</v>
      </c>
      <c r="B310" s="4">
        <v>4</v>
      </c>
      <c r="C310" s="4">
        <v>-4.5170000000000002E-2</v>
      </c>
      <c r="D310" s="4">
        <v>-9.5069999999999998E-3</v>
      </c>
      <c r="E310" s="4">
        <v>5.0340000000000003E-2</v>
      </c>
      <c r="F310" s="4">
        <v>4.376E-2</v>
      </c>
      <c r="G310" s="4">
        <v>6.5820000000000002E-3</v>
      </c>
      <c r="H310" s="4">
        <v>-8.5999999999999993E-2</v>
      </c>
      <c r="I310" s="4">
        <v>-3.5659999999999997E-2</v>
      </c>
      <c r="J310" s="19">
        <v>3500</v>
      </c>
      <c r="K310" s="1"/>
    </row>
    <row r="311" spans="1:11">
      <c r="A311" s="4">
        <v>16</v>
      </c>
      <c r="B311" s="4">
        <v>5</v>
      </c>
      <c r="C311" s="4">
        <v>-3.015E-2</v>
      </c>
      <c r="D311" s="4">
        <v>-8.652E-3</v>
      </c>
      <c r="E311" s="4">
        <v>4.546E-2</v>
      </c>
      <c r="F311" s="4">
        <v>3.3459999999999997E-2</v>
      </c>
      <c r="G311" s="4">
        <v>1.201E-2</v>
      </c>
      <c r="H311" s="4">
        <v>-6.6960000000000006E-2</v>
      </c>
      <c r="I311" s="4">
        <v>-2.1499999999999998E-2</v>
      </c>
      <c r="J311" s="19">
        <v>3700</v>
      </c>
      <c r="K311" s="1"/>
    </row>
    <row r="312" spans="1:11">
      <c r="A312" s="4">
        <v>16</v>
      </c>
      <c r="B312" s="4">
        <v>6</v>
      </c>
      <c r="C312" s="4">
        <v>-3.2989999999999998E-2</v>
      </c>
      <c r="D312" s="4">
        <v>2.2729999999999998E-3</v>
      </c>
      <c r="E312" s="4">
        <v>3.483E-2</v>
      </c>
      <c r="F312" s="4">
        <v>2.2159999999999999E-2</v>
      </c>
      <c r="G312" s="4">
        <v>1.2670000000000001E-2</v>
      </c>
      <c r="H312" s="4">
        <v>-7.0099999999999996E-2</v>
      </c>
      <c r="I312" s="4">
        <v>-3.526E-2</v>
      </c>
      <c r="J312" s="19">
        <v>8100</v>
      </c>
      <c r="K312" s="1"/>
    </row>
    <row r="313" spans="1:11">
      <c r="A313" s="4">
        <v>16</v>
      </c>
      <c r="B313" s="4">
        <v>7</v>
      </c>
      <c r="C313" s="4">
        <v>-3.243E-2</v>
      </c>
      <c r="D313" s="4">
        <v>-1.4E-2</v>
      </c>
      <c r="E313" s="4">
        <v>5.0659999999999997E-2</v>
      </c>
      <c r="F313" s="4">
        <v>4.0399999999999998E-2</v>
      </c>
      <c r="G313" s="4">
        <v>1.026E-2</v>
      </c>
      <c r="H313" s="4">
        <v>-6.9089999999999999E-2</v>
      </c>
      <c r="I313" s="4">
        <v>-1.8429999999999998E-2</v>
      </c>
      <c r="J313" s="19">
        <v>6900</v>
      </c>
      <c r="K313" s="1"/>
    </row>
    <row r="314" spans="1:11">
      <c r="A314" s="4">
        <v>16</v>
      </c>
      <c r="B314" s="4">
        <v>8</v>
      </c>
      <c r="C314" s="4">
        <v>-2.1819999999999999E-2</v>
      </c>
      <c r="D314" s="4">
        <v>-6.8190000000000004E-3</v>
      </c>
      <c r="E314" s="4">
        <v>3.4540000000000001E-2</v>
      </c>
      <c r="F314" s="4">
        <v>3.1050000000000001E-2</v>
      </c>
      <c r="G314" s="4">
        <v>3.4919999999999999E-3</v>
      </c>
      <c r="H314" s="4">
        <v>-4.9549999999999997E-2</v>
      </c>
      <c r="I314" s="4">
        <v>-1.4999999999999999E-2</v>
      </c>
      <c r="J314" s="19">
        <v>10500</v>
      </c>
      <c r="K314" s="1"/>
    </row>
    <row r="315" spans="1:11">
      <c r="A315" s="4">
        <v>16</v>
      </c>
      <c r="B315" s="4">
        <v>9</v>
      </c>
      <c r="C315" s="4">
        <v>-1.7059999999999999E-2</v>
      </c>
      <c r="D315" s="4">
        <v>-7.7799999999999996E-3</v>
      </c>
      <c r="E315" s="4">
        <v>3.5889999999999998E-2</v>
      </c>
      <c r="F315" s="4">
        <v>1.7239999999999998E-2</v>
      </c>
      <c r="G315" s="4">
        <v>1.865E-2</v>
      </c>
      <c r="H315" s="4">
        <v>-4.5170000000000002E-2</v>
      </c>
      <c r="I315" s="4">
        <v>-9.2849999999999999E-3</v>
      </c>
      <c r="J315" s="19">
        <v>9700</v>
      </c>
      <c r="K315" s="1"/>
    </row>
    <row r="316" spans="1:11">
      <c r="A316" s="4">
        <v>16</v>
      </c>
      <c r="B316" s="4">
        <v>10</v>
      </c>
      <c r="C316" s="4">
        <v>-1.3509999999999999E-2</v>
      </c>
      <c r="D316" s="4">
        <v>-8.0319999999999992E-3</v>
      </c>
      <c r="E316" s="4">
        <v>2.283E-2</v>
      </c>
      <c r="F316" s="4">
        <v>1.755E-2</v>
      </c>
      <c r="G316" s="4">
        <v>5.28E-3</v>
      </c>
      <c r="H316" s="4">
        <v>-2.8309999999999998E-2</v>
      </c>
      <c r="I316" s="4">
        <v>-5.476E-3</v>
      </c>
      <c r="J316" s="19">
        <v>18000</v>
      </c>
      <c r="K316" s="1"/>
    </row>
    <row r="317" spans="1:11">
      <c r="A317" s="4">
        <v>16</v>
      </c>
      <c r="B317" s="4">
        <v>11</v>
      </c>
      <c r="C317" s="4">
        <v>-2.3689999999999999E-2</v>
      </c>
      <c r="D317" s="4">
        <v>-1.8450000000000001E-2</v>
      </c>
      <c r="E317" s="4">
        <v>2.5819999999999999E-2</v>
      </c>
      <c r="F317" s="4">
        <v>1.8020000000000001E-2</v>
      </c>
      <c r="G317" s="4">
        <v>7.8059999999999996E-3</v>
      </c>
      <c r="H317" s="4">
        <v>-3.1060000000000001E-2</v>
      </c>
      <c r="I317" s="4">
        <v>-5.2329999999999998E-3</v>
      </c>
      <c r="J317" s="19">
        <v>10500</v>
      </c>
      <c r="K317" s="1"/>
    </row>
    <row r="318" spans="1:11">
      <c r="A318" s="4">
        <v>16</v>
      </c>
      <c r="B318" s="4">
        <v>12</v>
      </c>
      <c r="C318" s="4">
        <v>-7.8079999999999998E-3</v>
      </c>
      <c r="D318" s="4">
        <v>-4.0390000000000001E-3</v>
      </c>
      <c r="E318" s="4">
        <v>2.316E-2</v>
      </c>
      <c r="F318" s="4">
        <v>1.8759999999999999E-2</v>
      </c>
      <c r="G318" s="4">
        <v>4.3949999999999996E-3</v>
      </c>
      <c r="H318" s="4">
        <v>-2.6929999999999999E-2</v>
      </c>
      <c r="I318" s="4">
        <v>-3.7699999999999999E-3</v>
      </c>
      <c r="J318" s="19">
        <v>23000</v>
      </c>
      <c r="K318" s="1"/>
    </row>
    <row r="319" spans="1:11">
      <c r="A319" s="4">
        <v>16</v>
      </c>
      <c r="B319" s="4">
        <v>13</v>
      </c>
      <c r="C319" s="4">
        <v>2.6159999999999998E-3</v>
      </c>
      <c r="D319" s="4">
        <v>-2.944E-3</v>
      </c>
      <c r="E319" s="4">
        <v>2.5819999999999999E-2</v>
      </c>
      <c r="F319" s="4">
        <v>1.5509999999999999E-2</v>
      </c>
      <c r="G319" s="4">
        <v>1.031E-2</v>
      </c>
      <c r="H319" s="4">
        <v>-2.026E-2</v>
      </c>
      <c r="I319" s="4">
        <v>5.5599999999999998E-3</v>
      </c>
      <c r="J319" s="19">
        <v>45000</v>
      </c>
      <c r="K319" s="1"/>
    </row>
    <row r="320" spans="1:11">
      <c r="A320" s="4">
        <v>16</v>
      </c>
      <c r="B320" s="4">
        <v>14</v>
      </c>
      <c r="C320" s="4">
        <v>-2.101E-3</v>
      </c>
      <c r="D320" s="4">
        <v>-5.3530000000000001E-3</v>
      </c>
      <c r="E320" s="4">
        <v>1.9390000000000001E-2</v>
      </c>
      <c r="F320" s="4">
        <v>1.145E-2</v>
      </c>
      <c r="G320" s="4">
        <v>7.9439999999999997E-3</v>
      </c>
      <c r="H320" s="4">
        <v>-1.6140000000000002E-2</v>
      </c>
      <c r="I320" s="4">
        <v>3.2529999999999998E-3</v>
      </c>
      <c r="J320" s="19">
        <v>35500</v>
      </c>
      <c r="K320" s="1"/>
    </row>
    <row r="321" spans="1:11">
      <c r="A321" s="4">
        <v>16</v>
      </c>
      <c r="B321" s="4">
        <v>15</v>
      </c>
      <c r="C321" s="4">
        <v>-6.7190000000000001E-4</v>
      </c>
      <c r="D321" s="4">
        <v>-7.345E-3</v>
      </c>
      <c r="E321" s="4">
        <v>1.312E-2</v>
      </c>
      <c r="F321" s="4">
        <v>4.9509999999999997E-3</v>
      </c>
      <c r="G321" s="4">
        <v>8.1670000000000006E-3</v>
      </c>
      <c r="H321" s="4">
        <v>-6.4450000000000002E-3</v>
      </c>
      <c r="I321" s="4">
        <v>6.6730000000000001E-3</v>
      </c>
      <c r="J321" s="19">
        <v>26000</v>
      </c>
      <c r="K321" s="1"/>
    </row>
    <row r="322" spans="1:11">
      <c r="A322" s="4">
        <v>16</v>
      </c>
      <c r="B322" s="4">
        <v>16</v>
      </c>
      <c r="C322" s="4">
        <v>9.3640000000000008E-3</v>
      </c>
      <c r="D322" s="4">
        <v>-3.9039999999999999E-3</v>
      </c>
      <c r="E322" s="4">
        <v>1.421E-2</v>
      </c>
      <c r="F322" s="4">
        <v>3.9110000000000004E-3</v>
      </c>
      <c r="G322" s="4">
        <v>1.03E-2</v>
      </c>
      <c r="H322" s="4">
        <v>-9.4550000000000005E-4</v>
      </c>
      <c r="I322" s="4">
        <v>1.3270000000000001E-2</v>
      </c>
      <c r="J322" s="19">
        <v>21500</v>
      </c>
      <c r="K322" s="1"/>
    </row>
    <row r="323" spans="1:11">
      <c r="A323" s="4">
        <v>16</v>
      </c>
      <c r="B323" s="4">
        <v>17</v>
      </c>
      <c r="C323" s="4">
        <v>1.2160000000000001E-2</v>
      </c>
      <c r="D323" s="4">
        <v>-4.9040000000000004E-3</v>
      </c>
      <c r="E323" s="4">
        <v>7.1440000000000002E-3</v>
      </c>
      <c r="F323" s="4">
        <v>-2.081E-3</v>
      </c>
      <c r="G323" s="4">
        <v>9.2250000000000006E-3</v>
      </c>
      <c r="H323" s="4">
        <v>9.9209999999999993E-3</v>
      </c>
      <c r="I323" s="4">
        <v>1.7069999999999998E-2</v>
      </c>
      <c r="J323" s="19">
        <v>54000</v>
      </c>
      <c r="K323" s="1"/>
    </row>
    <row r="324" spans="1:11">
      <c r="A324" s="4">
        <v>16</v>
      </c>
      <c r="B324" s="4">
        <v>18</v>
      </c>
      <c r="C324" s="4">
        <v>2.3E-2</v>
      </c>
      <c r="D324" s="4">
        <v>-6.9290000000000003E-3</v>
      </c>
      <c r="E324" s="4">
        <v>-2.2239999999999998E-3</v>
      </c>
      <c r="F324" s="4">
        <v>-1.453E-2</v>
      </c>
      <c r="G324" s="4">
        <v>1.231E-2</v>
      </c>
      <c r="H324" s="4">
        <v>3.2149999999999998E-2</v>
      </c>
      <c r="I324" s="4">
        <v>2.9929999999999998E-2</v>
      </c>
      <c r="J324" s="19">
        <v>52500</v>
      </c>
      <c r="K324" s="1"/>
    </row>
    <row r="325" spans="1:11">
      <c r="A325" s="4">
        <v>16</v>
      </c>
      <c r="B325" s="4">
        <v>19</v>
      </c>
      <c r="C325" s="4">
        <v>3.5119999999999998E-2</v>
      </c>
      <c r="D325" s="4">
        <v>-1.7000000000000001E-2</v>
      </c>
      <c r="E325" s="4">
        <v>-1.1599999999999999E-2</v>
      </c>
      <c r="F325" s="4">
        <v>-1.0749999999999999E-2</v>
      </c>
      <c r="G325" s="4">
        <v>-8.566E-4</v>
      </c>
      <c r="H325" s="4">
        <v>6.3729999999999995E-2</v>
      </c>
      <c r="I325" s="4">
        <v>5.212E-2</v>
      </c>
      <c r="J325" s="19">
        <v>72500</v>
      </c>
      <c r="K325" s="1"/>
    </row>
    <row r="326" spans="1:11">
      <c r="A326" s="4">
        <v>16</v>
      </c>
      <c r="B326" s="4">
        <v>20</v>
      </c>
      <c r="C326" s="4">
        <v>9.2039999999999997E-2</v>
      </c>
      <c r="D326" s="4">
        <v>-1.5169999999999999E-2</v>
      </c>
      <c r="E326" s="4">
        <v>-2.2100000000000002E-2</v>
      </c>
      <c r="F326" s="4">
        <v>-1.985E-2</v>
      </c>
      <c r="G326" s="4">
        <v>-2.2539999999999999E-3</v>
      </c>
      <c r="H326" s="4">
        <v>0.1293</v>
      </c>
      <c r="I326" s="4">
        <v>0.1072</v>
      </c>
      <c r="J326" s="19">
        <v>70500</v>
      </c>
      <c r="K326" s="1"/>
    </row>
    <row r="327" spans="1:11">
      <c r="A327" s="4">
        <v>17</v>
      </c>
      <c r="B327" s="4">
        <v>1</v>
      </c>
      <c r="C327" s="4">
        <v>-8.7809999999999999E-2</v>
      </c>
      <c r="D327" s="4">
        <v>-1.499E-2</v>
      </c>
      <c r="E327" s="4">
        <v>8.2530000000000006E-2</v>
      </c>
      <c r="F327" s="4">
        <v>6.3329999999999997E-2</v>
      </c>
      <c r="G327" s="4">
        <v>1.9199999999999998E-2</v>
      </c>
      <c r="H327" s="4">
        <v>-0.15540000000000001</v>
      </c>
      <c r="I327" s="4">
        <v>-7.2819999999999996E-2</v>
      </c>
      <c r="J327" s="19">
        <v>1400</v>
      </c>
      <c r="K327" s="1"/>
    </row>
    <row r="328" spans="1:11">
      <c r="A328" s="4">
        <v>17</v>
      </c>
      <c r="B328" s="4">
        <v>2</v>
      </c>
      <c r="C328" s="4">
        <v>-1.9400000000000001E-2</v>
      </c>
      <c r="D328" s="4">
        <v>1.008E-2</v>
      </c>
      <c r="E328" s="4">
        <v>7.7619999999999995E-2</v>
      </c>
      <c r="F328" s="4">
        <v>4.0120000000000003E-2</v>
      </c>
      <c r="G328" s="4">
        <v>3.7490000000000002E-2</v>
      </c>
      <c r="H328" s="4">
        <v>-0.1071</v>
      </c>
      <c r="I328" s="4">
        <v>-2.9479999999999999E-2</v>
      </c>
      <c r="J328" s="19">
        <v>3000</v>
      </c>
      <c r="K328" s="1"/>
    </row>
    <row r="329" spans="1:11">
      <c r="A329" s="4">
        <v>17</v>
      </c>
      <c r="B329" s="4">
        <v>3</v>
      </c>
      <c r="C329" s="4">
        <v>-2.759E-2</v>
      </c>
      <c r="D329" s="4">
        <v>8.1569999999999993E-3</v>
      </c>
      <c r="E329" s="4">
        <v>4.4569999999999999E-2</v>
      </c>
      <c r="F329" s="4">
        <v>4.87E-2</v>
      </c>
      <c r="G329" s="4">
        <v>-4.1330000000000004E-3</v>
      </c>
      <c r="H329" s="4">
        <v>-8.0320000000000003E-2</v>
      </c>
      <c r="I329" s="4">
        <v>-3.5749999999999997E-2</v>
      </c>
      <c r="J329" s="19">
        <v>6800</v>
      </c>
      <c r="K329" s="1"/>
    </row>
    <row r="330" spans="1:11">
      <c r="A330" s="4">
        <v>17</v>
      </c>
      <c r="B330" s="4">
        <v>4</v>
      </c>
      <c r="C330" s="4">
        <v>-3.5200000000000002E-2</v>
      </c>
      <c r="D330" s="4">
        <v>4.7879999999999997E-3</v>
      </c>
      <c r="E330" s="4">
        <v>5.4519999999999999E-2</v>
      </c>
      <c r="F330" s="4">
        <v>4.4170000000000001E-2</v>
      </c>
      <c r="G330" s="4">
        <v>1.035E-2</v>
      </c>
      <c r="H330" s="4">
        <v>-9.4509999999999997E-2</v>
      </c>
      <c r="I330" s="4">
        <v>-3.9989999999999998E-2</v>
      </c>
      <c r="J330" s="19">
        <v>6100</v>
      </c>
      <c r="K330" s="1"/>
    </row>
    <row r="331" spans="1:11">
      <c r="A331" s="4">
        <v>17</v>
      </c>
      <c r="B331" s="4">
        <v>5</v>
      </c>
      <c r="C331" s="4">
        <v>-4.0030000000000003E-2</v>
      </c>
      <c r="D331" s="4">
        <v>-1.278E-2</v>
      </c>
      <c r="E331" s="4">
        <v>3.2750000000000001E-2</v>
      </c>
      <c r="F331" s="4">
        <v>2.7779999999999999E-2</v>
      </c>
      <c r="G331" s="4">
        <v>4.9639999999999997E-3</v>
      </c>
      <c r="H331" s="4">
        <v>-0.06</v>
      </c>
      <c r="I331" s="4">
        <v>-2.725E-2</v>
      </c>
      <c r="J331" s="19">
        <v>7300</v>
      </c>
      <c r="K331" s="1"/>
    </row>
    <row r="332" spans="1:11">
      <c r="A332" s="4">
        <v>17</v>
      </c>
      <c r="B332" s="4">
        <v>6</v>
      </c>
      <c r="C332" s="4">
        <v>-1.584E-2</v>
      </c>
      <c r="D332" s="4">
        <v>1.4829999999999999E-2</v>
      </c>
      <c r="E332" s="4">
        <v>4.5909999999999999E-2</v>
      </c>
      <c r="F332" s="4">
        <v>4.1869999999999997E-2</v>
      </c>
      <c r="G332" s="4">
        <v>4.0429999999999997E-3</v>
      </c>
      <c r="H332" s="4">
        <v>-7.6579999999999995E-2</v>
      </c>
      <c r="I332" s="4">
        <v>-3.0669999999999999E-2</v>
      </c>
      <c r="J332" s="19">
        <v>9900</v>
      </c>
      <c r="K332" s="1"/>
    </row>
    <row r="333" spans="1:11">
      <c r="A333" s="4">
        <v>17</v>
      </c>
      <c r="B333" s="4">
        <v>7</v>
      </c>
      <c r="C333" s="4">
        <v>-2.511E-2</v>
      </c>
      <c r="D333" s="4">
        <v>2.7750000000000001E-3</v>
      </c>
      <c r="E333" s="4">
        <v>3.3959999999999997E-2</v>
      </c>
      <c r="F333" s="4">
        <v>2.215E-2</v>
      </c>
      <c r="G333" s="4">
        <v>1.1820000000000001E-2</v>
      </c>
      <c r="H333" s="4">
        <v>-6.1850000000000002E-2</v>
      </c>
      <c r="I333" s="4">
        <v>-2.7879999999999999E-2</v>
      </c>
      <c r="J333" s="19">
        <v>9800</v>
      </c>
      <c r="K333" s="1"/>
    </row>
    <row r="334" spans="1:11">
      <c r="A334" s="4">
        <v>17</v>
      </c>
      <c r="B334" s="4">
        <v>8</v>
      </c>
      <c r="C334" s="4">
        <v>-1.9800000000000002E-2</v>
      </c>
      <c r="D334" s="4">
        <v>-6.6370000000000003E-4</v>
      </c>
      <c r="E334" s="4">
        <v>5.237E-2</v>
      </c>
      <c r="F334" s="4">
        <v>3.61E-2</v>
      </c>
      <c r="G334" s="4">
        <v>1.627E-2</v>
      </c>
      <c r="H334" s="4">
        <v>-7.1500000000000105E-2</v>
      </c>
      <c r="I334" s="4">
        <v>-1.9130000000000001E-2</v>
      </c>
      <c r="J334" s="19">
        <v>13000</v>
      </c>
      <c r="K334" s="1"/>
    </row>
    <row r="335" spans="1:11">
      <c r="A335" s="4">
        <v>17</v>
      </c>
      <c r="B335" s="4">
        <v>9</v>
      </c>
      <c r="C335" s="4">
        <v>-9.5420000000000001E-3</v>
      </c>
      <c r="D335" s="4">
        <v>3.7629999999999999E-3</v>
      </c>
      <c r="E335" s="4">
        <v>3.032E-2</v>
      </c>
      <c r="F335" s="4">
        <v>2.3769999999999999E-2</v>
      </c>
      <c r="G335" s="4">
        <v>6.5560000000000002E-3</v>
      </c>
      <c r="H335" s="4">
        <v>-4.3630000000000002E-2</v>
      </c>
      <c r="I335" s="4">
        <v>-1.3299999999999999E-2</v>
      </c>
      <c r="J335" s="19">
        <v>15500</v>
      </c>
      <c r="K335" s="1"/>
    </row>
    <row r="336" spans="1:11">
      <c r="A336" s="4">
        <v>17</v>
      </c>
      <c r="B336" s="4">
        <v>10</v>
      </c>
      <c r="C336" s="4">
        <v>-1.643E-2</v>
      </c>
      <c r="D336" s="4">
        <v>-7.0780000000000001E-3</v>
      </c>
      <c r="E336" s="4">
        <v>3.5279999999999999E-2</v>
      </c>
      <c r="F336" s="4">
        <v>3.1109999999999999E-2</v>
      </c>
      <c r="G336" s="4">
        <v>4.1669999999999997E-3</v>
      </c>
      <c r="H336" s="4">
        <v>-4.4639999999999999E-2</v>
      </c>
      <c r="I336" s="4">
        <v>-9.3570000000000007E-3</v>
      </c>
      <c r="J336" s="19">
        <v>15500</v>
      </c>
      <c r="K336" s="1"/>
    </row>
    <row r="337" spans="1:11">
      <c r="A337" s="4">
        <v>17</v>
      </c>
      <c r="B337" s="4">
        <v>11</v>
      </c>
      <c r="C337" s="4">
        <v>-2.2870000000000001E-2</v>
      </c>
      <c r="D337" s="4">
        <v>-1.634E-2</v>
      </c>
      <c r="E337" s="4">
        <v>3.805E-2</v>
      </c>
      <c r="F337" s="4">
        <v>2.349E-2</v>
      </c>
      <c r="G337" s="4">
        <v>1.456E-2</v>
      </c>
      <c r="H337" s="4">
        <v>-4.4569999999999999E-2</v>
      </c>
      <c r="I337" s="4">
        <v>-6.5259999999999997E-3</v>
      </c>
      <c r="J337" s="19">
        <v>12500</v>
      </c>
      <c r="K337" s="1"/>
    </row>
    <row r="338" spans="1:11">
      <c r="A338" s="4">
        <v>17</v>
      </c>
      <c r="B338" s="4">
        <v>12</v>
      </c>
      <c r="C338" s="4">
        <v>-4.6639999999999997E-3</v>
      </c>
      <c r="D338" s="4">
        <v>1.9580000000000001E-3</v>
      </c>
      <c r="E338" s="4">
        <v>2.8979999999999999E-2</v>
      </c>
      <c r="F338" s="4">
        <v>2.562E-2</v>
      </c>
      <c r="G338" s="4">
        <v>3.356E-3</v>
      </c>
      <c r="H338" s="4">
        <v>-3.56E-2</v>
      </c>
      <c r="I338" s="4">
        <v>-6.6230000000000004E-3</v>
      </c>
      <c r="J338" s="19">
        <v>22000</v>
      </c>
      <c r="K338" s="1"/>
    </row>
    <row r="339" spans="1:11">
      <c r="A339" s="4">
        <v>17</v>
      </c>
      <c r="B339" s="4">
        <v>13</v>
      </c>
      <c r="C339" s="4">
        <v>-8.8149999999999999E-3</v>
      </c>
      <c r="D339" s="4">
        <v>-4.4980000000000003E-3</v>
      </c>
      <c r="E339" s="4">
        <v>3.082E-2</v>
      </c>
      <c r="F339" s="4">
        <v>2.7320000000000001E-2</v>
      </c>
      <c r="G339" s="4">
        <v>3.4949999999999998E-3</v>
      </c>
      <c r="H339" s="4">
        <v>-3.5130000000000002E-2</v>
      </c>
      <c r="I339" s="4">
        <v>-4.3169999999999997E-3</v>
      </c>
      <c r="J339" s="19">
        <v>27500</v>
      </c>
      <c r="K339" s="1"/>
    </row>
    <row r="340" spans="1:11">
      <c r="A340" s="4">
        <v>17</v>
      </c>
      <c r="B340" s="4">
        <v>14</v>
      </c>
      <c r="C340" s="4">
        <v>-4.3819999999999996E-3</v>
      </c>
      <c r="D340" s="4">
        <v>-4.346E-3</v>
      </c>
      <c r="E340" s="4">
        <v>2.4660000000000001E-2</v>
      </c>
      <c r="F340" s="4">
        <v>2.0789999999999999E-2</v>
      </c>
      <c r="G340" s="4">
        <v>3.8660000000000001E-3</v>
      </c>
      <c r="H340" s="4">
        <v>-2.47E-2</v>
      </c>
      <c r="I340" s="4">
        <v>-3.561E-5</v>
      </c>
      <c r="J340" s="19">
        <v>32000</v>
      </c>
      <c r="K340" s="1"/>
    </row>
    <row r="341" spans="1:11">
      <c r="A341" s="4">
        <v>17</v>
      </c>
      <c r="B341" s="4">
        <v>15</v>
      </c>
      <c r="C341" s="4">
        <v>3.7620000000000002E-3</v>
      </c>
      <c r="D341" s="4">
        <v>-1.157E-3</v>
      </c>
      <c r="E341" s="4">
        <v>2.4080000000000001E-2</v>
      </c>
      <c r="F341" s="4">
        <v>1.8790000000000001E-2</v>
      </c>
      <c r="G341" s="4">
        <v>5.2849999999999998E-3</v>
      </c>
      <c r="H341" s="4">
        <v>-1.916E-2</v>
      </c>
      <c r="I341" s="4">
        <v>4.9189999999999998E-3</v>
      </c>
      <c r="J341" s="19">
        <v>55000</v>
      </c>
      <c r="K341" s="1"/>
    </row>
    <row r="342" spans="1:11">
      <c r="A342" s="4">
        <v>17</v>
      </c>
      <c r="B342" s="4">
        <v>16</v>
      </c>
      <c r="C342" s="4">
        <v>1.1089999999999999E-2</v>
      </c>
      <c r="D342" s="4">
        <v>1.7750000000000001E-3</v>
      </c>
      <c r="E342" s="4">
        <v>1.9E-2</v>
      </c>
      <c r="F342" s="4">
        <v>1.176E-2</v>
      </c>
      <c r="G342" s="4">
        <v>7.2399999999999999E-3</v>
      </c>
      <c r="H342" s="4">
        <v>-9.6889999999999997E-3</v>
      </c>
      <c r="I342" s="4">
        <v>9.3109999999999998E-3</v>
      </c>
      <c r="J342" s="19">
        <v>56000</v>
      </c>
      <c r="K342" s="1"/>
    </row>
    <row r="343" spans="1:11">
      <c r="A343" s="4">
        <v>17</v>
      </c>
      <c r="B343" s="4">
        <v>17</v>
      </c>
      <c r="C343" s="4">
        <v>2.4309999999999998E-2</v>
      </c>
      <c r="D343" s="4">
        <v>8.4659999999999996E-3</v>
      </c>
      <c r="E343" s="4">
        <v>1.6480000000000002E-2</v>
      </c>
      <c r="F343" s="4">
        <v>7.8019999999999999E-3</v>
      </c>
      <c r="G343" s="4">
        <v>8.6770000000000007E-3</v>
      </c>
      <c r="H343" s="4">
        <v>-6.3860000000000002E-4</v>
      </c>
      <c r="I343" s="4">
        <v>1.584E-2</v>
      </c>
      <c r="J343" s="19">
        <v>50500</v>
      </c>
      <c r="K343" s="1"/>
    </row>
    <row r="344" spans="1:11">
      <c r="A344" s="4">
        <v>17</v>
      </c>
      <c r="B344" s="4">
        <v>18</v>
      </c>
      <c r="C344" s="4">
        <v>1.9699999999999999E-2</v>
      </c>
      <c r="D344" s="4">
        <v>6.2210000000000002E-5</v>
      </c>
      <c r="E344" s="4">
        <v>9.0500000000000008E-3</v>
      </c>
      <c r="F344" s="4">
        <v>2.5439999999999998E-3</v>
      </c>
      <c r="G344" s="4">
        <v>6.5059999999999996E-3</v>
      </c>
      <c r="H344" s="4">
        <v>1.059E-2</v>
      </c>
      <c r="I344" s="4">
        <v>1.9640000000000001E-2</v>
      </c>
      <c r="J344" s="19">
        <v>83000</v>
      </c>
      <c r="K344" s="1"/>
    </row>
    <row r="345" spans="1:11">
      <c r="A345" s="4">
        <v>17</v>
      </c>
      <c r="B345" s="4">
        <v>19</v>
      </c>
      <c r="C345" s="4">
        <v>4.0640000000000003E-2</v>
      </c>
      <c r="D345" s="4">
        <v>-1.1610000000000001E-2</v>
      </c>
      <c r="E345" s="4">
        <v>6.4800000000000003E-4</v>
      </c>
      <c r="F345" s="4">
        <v>-7.8840000000000004E-3</v>
      </c>
      <c r="G345" s="4">
        <v>8.5319999999999997E-3</v>
      </c>
      <c r="H345" s="4">
        <v>5.16E-2</v>
      </c>
      <c r="I345" s="4">
        <v>5.2249999999999998E-2</v>
      </c>
      <c r="J345" s="19">
        <v>95000</v>
      </c>
      <c r="K345" s="1"/>
    </row>
    <row r="346" spans="1:11">
      <c r="A346" s="4">
        <v>17</v>
      </c>
      <c r="B346" s="4">
        <v>20</v>
      </c>
      <c r="C346" s="4">
        <v>0.1003</v>
      </c>
      <c r="D346" s="4">
        <v>-6.8329999999999997E-3</v>
      </c>
      <c r="E346" s="4">
        <v>-2.1590000000000002E-2</v>
      </c>
      <c r="F346" s="4">
        <v>-2.0500000000000001E-2</v>
      </c>
      <c r="G346" s="4">
        <v>-1.091E-3</v>
      </c>
      <c r="H346" s="4">
        <v>0.12870000000000001</v>
      </c>
      <c r="I346" s="4">
        <v>0.1071</v>
      </c>
      <c r="J346" s="19">
        <v>109000</v>
      </c>
      <c r="K346" s="1"/>
    </row>
    <row r="347" spans="1:11">
      <c r="A347" s="4">
        <v>18</v>
      </c>
      <c r="B347" s="4">
        <v>1</v>
      </c>
      <c r="C347" s="4">
        <v>-7.7429999999999999E-2</v>
      </c>
      <c r="D347" s="4">
        <v>-1.42E-3</v>
      </c>
      <c r="E347" s="4">
        <v>8.8550000000000004E-2</v>
      </c>
      <c r="F347" s="4">
        <v>5.6239999999999998E-2</v>
      </c>
      <c r="G347" s="4">
        <v>3.2309999999999998E-2</v>
      </c>
      <c r="H347" s="4">
        <v>-0.1646</v>
      </c>
      <c r="I347" s="4">
        <v>-7.6009999999999994E-2</v>
      </c>
      <c r="J347" s="19">
        <v>1200</v>
      </c>
      <c r="K347" s="1"/>
    </row>
    <row r="348" spans="1:11">
      <c r="A348" s="4">
        <v>18</v>
      </c>
      <c r="B348" s="4">
        <v>2</v>
      </c>
      <c r="C348" s="4">
        <v>-4.7620000000000003E-2</v>
      </c>
      <c r="D348" s="4">
        <v>5.3870000000000003E-4</v>
      </c>
      <c r="E348" s="4">
        <v>7.5029999999999999E-2</v>
      </c>
      <c r="F348" s="4">
        <v>5.3370000000000001E-2</v>
      </c>
      <c r="G348" s="4">
        <v>2.1659999999999999E-2</v>
      </c>
      <c r="H348" s="4">
        <v>-0.1232</v>
      </c>
      <c r="I348" s="4">
        <v>-4.8160000000000001E-2</v>
      </c>
      <c r="J348" s="19">
        <v>3400</v>
      </c>
      <c r="K348" s="1"/>
    </row>
    <row r="349" spans="1:11">
      <c r="A349" s="4">
        <v>18</v>
      </c>
      <c r="B349" s="4">
        <v>3</v>
      </c>
      <c r="C349" s="4">
        <v>-3.9320000000000001E-2</v>
      </c>
      <c r="D349" s="4">
        <v>4.9689999999999999E-4</v>
      </c>
      <c r="E349" s="4">
        <v>6.0389999999999999E-2</v>
      </c>
      <c r="F349" s="4">
        <v>5.4489999999999997E-2</v>
      </c>
      <c r="G349" s="4">
        <v>5.8979999999999996E-3</v>
      </c>
      <c r="H349" s="4">
        <v>-0.1002</v>
      </c>
      <c r="I349" s="4">
        <v>-3.9820000000000001E-2</v>
      </c>
      <c r="J349" s="19">
        <v>4200</v>
      </c>
      <c r="K349" s="1"/>
    </row>
    <row r="350" spans="1:11">
      <c r="A350" s="4">
        <v>18</v>
      </c>
      <c r="B350" s="4">
        <v>4</v>
      </c>
      <c r="C350" s="4">
        <v>-5.0310000000000001E-2</v>
      </c>
      <c r="D350" s="4">
        <v>-2.1099999999999999E-3</v>
      </c>
      <c r="E350" s="4">
        <v>5.9290000000000002E-2</v>
      </c>
      <c r="F350" s="4">
        <v>4.9860000000000002E-2</v>
      </c>
      <c r="G350" s="4">
        <v>9.4350000000000007E-3</v>
      </c>
      <c r="H350" s="4">
        <v>-0.1075</v>
      </c>
      <c r="I350" s="4">
        <v>-4.82E-2</v>
      </c>
      <c r="J350" s="19">
        <v>5700</v>
      </c>
      <c r="K350" s="1"/>
    </row>
    <row r="351" spans="1:11">
      <c r="A351" s="4">
        <v>18</v>
      </c>
      <c r="B351" s="4">
        <v>5</v>
      </c>
      <c r="C351" s="4">
        <v>-4.1230000000000003E-2</v>
      </c>
      <c r="D351" s="4">
        <v>-1.218E-2</v>
      </c>
      <c r="E351" s="4">
        <v>4.1070000000000002E-2</v>
      </c>
      <c r="F351" s="4">
        <v>2.7119999999999998E-2</v>
      </c>
      <c r="G351" s="4">
        <v>1.3950000000000001E-2</v>
      </c>
      <c r="H351" s="4">
        <v>-7.0120000000000002E-2</v>
      </c>
      <c r="I351" s="4">
        <v>-2.9049999999999999E-2</v>
      </c>
      <c r="J351" s="19">
        <v>4600</v>
      </c>
      <c r="K351" s="1"/>
    </row>
    <row r="352" spans="1:11">
      <c r="A352" s="4">
        <v>18</v>
      </c>
      <c r="B352" s="4">
        <v>6</v>
      </c>
      <c r="C352" s="4">
        <v>-3.4849999999999999E-2</v>
      </c>
      <c r="D352" s="4">
        <v>4.5849999999999997E-3</v>
      </c>
      <c r="E352" s="4">
        <v>5.6980000000000003E-2</v>
      </c>
      <c r="F352" s="4">
        <v>4.4290000000000003E-2</v>
      </c>
      <c r="G352" s="4">
        <v>1.269E-2</v>
      </c>
      <c r="H352" s="4">
        <v>-9.6420000000000006E-2</v>
      </c>
      <c r="I352" s="4">
        <v>-3.9440000000000003E-2</v>
      </c>
      <c r="J352" s="19">
        <v>6600</v>
      </c>
      <c r="K352" s="1"/>
    </row>
    <row r="353" spans="1:11">
      <c r="A353" s="4">
        <v>18</v>
      </c>
      <c r="B353" s="4">
        <v>7</v>
      </c>
      <c r="C353" s="4">
        <v>-4.3439999999999999E-2</v>
      </c>
      <c r="D353" s="4">
        <v>-8.3459999999999993E-3</v>
      </c>
      <c r="E353" s="4">
        <v>5.1119999999999999E-2</v>
      </c>
      <c r="F353" s="4">
        <v>3.2190000000000003E-2</v>
      </c>
      <c r="G353" s="4">
        <v>1.8929999999999999E-2</v>
      </c>
      <c r="H353" s="4">
        <v>-8.6220000000000005E-2</v>
      </c>
      <c r="I353" s="4">
        <v>-3.5090000000000003E-2</v>
      </c>
      <c r="J353" s="19">
        <v>12500</v>
      </c>
      <c r="K353" s="1"/>
    </row>
    <row r="354" spans="1:11">
      <c r="A354" s="4">
        <v>18</v>
      </c>
      <c r="B354" s="4">
        <v>8</v>
      </c>
      <c r="C354" s="4">
        <v>-4.3270000000000003E-2</v>
      </c>
      <c r="D354" s="4">
        <v>-6.2680000000000001E-3</v>
      </c>
      <c r="E354" s="4">
        <v>5.5160000000000001E-2</v>
      </c>
      <c r="F354" s="4">
        <v>3.5860000000000003E-2</v>
      </c>
      <c r="G354" s="4">
        <v>1.9290000000000002E-2</v>
      </c>
      <c r="H354" s="4">
        <v>-9.2160000000000006E-2</v>
      </c>
      <c r="I354" s="4">
        <v>-3.6999999999999998E-2</v>
      </c>
      <c r="J354" s="19">
        <v>9200</v>
      </c>
      <c r="K354" s="1"/>
    </row>
    <row r="355" spans="1:11">
      <c r="A355" s="4">
        <v>18</v>
      </c>
      <c r="B355" s="4">
        <v>9</v>
      </c>
      <c r="C355" s="4">
        <v>-1.542E-2</v>
      </c>
      <c r="D355" s="4">
        <v>-5.6620000000000004E-3</v>
      </c>
      <c r="E355" s="4">
        <v>5.1650000000000001E-2</v>
      </c>
      <c r="F355" s="4">
        <v>3.7990000000000003E-2</v>
      </c>
      <c r="G355" s="4">
        <v>1.366E-2</v>
      </c>
      <c r="H355" s="4">
        <v>-6.1409999999999999E-2</v>
      </c>
      <c r="I355" s="4">
        <v>-9.7610000000000006E-3</v>
      </c>
      <c r="J355" s="19">
        <v>13000</v>
      </c>
      <c r="K355" s="1"/>
    </row>
    <row r="356" spans="1:11">
      <c r="A356" s="4">
        <v>18</v>
      </c>
      <c r="B356" s="4">
        <v>10</v>
      </c>
      <c r="C356" s="4">
        <v>-2.511E-2</v>
      </c>
      <c r="D356" s="4">
        <v>-6.0660000000000002E-3</v>
      </c>
      <c r="E356" s="4">
        <v>3.8969999999999998E-2</v>
      </c>
      <c r="F356" s="4">
        <v>3.313E-2</v>
      </c>
      <c r="G356" s="4">
        <v>5.8349999999999999E-3</v>
      </c>
      <c r="H356" s="4">
        <v>-5.8009999999999999E-2</v>
      </c>
      <c r="I356" s="4">
        <v>-1.9050000000000001E-2</v>
      </c>
      <c r="J356" s="19">
        <v>14000</v>
      </c>
      <c r="K356" s="1"/>
    </row>
    <row r="357" spans="1:11">
      <c r="A357" s="4">
        <v>18</v>
      </c>
      <c r="B357" s="4">
        <v>11</v>
      </c>
      <c r="C357" s="4">
        <v>-2.3009999999999999E-2</v>
      </c>
      <c r="D357" s="4">
        <v>-3.7989999999999999E-3</v>
      </c>
      <c r="E357" s="4">
        <v>3.671E-2</v>
      </c>
      <c r="F357" s="4">
        <v>3.2989999999999998E-2</v>
      </c>
      <c r="G357" s="4">
        <v>3.722E-3</v>
      </c>
      <c r="H357" s="4">
        <v>-5.5910000000000001E-2</v>
      </c>
      <c r="I357" s="4">
        <v>-1.9210000000000001E-2</v>
      </c>
      <c r="J357" s="19">
        <v>24000</v>
      </c>
      <c r="K357" s="1"/>
    </row>
    <row r="358" spans="1:11">
      <c r="A358" s="4">
        <v>18</v>
      </c>
      <c r="B358" s="4">
        <v>12</v>
      </c>
      <c r="C358" s="4">
        <v>-2.6769999999999999E-2</v>
      </c>
      <c r="D358" s="4">
        <v>-3.1410000000000001E-3</v>
      </c>
      <c r="E358" s="4">
        <v>4.1149999999999999E-2</v>
      </c>
      <c r="F358" s="4">
        <v>3.0460000000000001E-2</v>
      </c>
      <c r="G358" s="4">
        <v>1.069E-2</v>
      </c>
      <c r="H358" s="4">
        <v>-6.4780000000000004E-2</v>
      </c>
      <c r="I358" s="4">
        <v>-2.3619999999999999E-2</v>
      </c>
      <c r="J358" s="19">
        <v>23000</v>
      </c>
      <c r="K358" s="1"/>
    </row>
    <row r="359" spans="1:11">
      <c r="A359" s="4">
        <v>18</v>
      </c>
      <c r="B359" s="4">
        <v>13</v>
      </c>
      <c r="C359" s="4">
        <v>-9.9080000000000001E-3</v>
      </c>
      <c r="D359" s="4">
        <v>-4.47E-3</v>
      </c>
      <c r="E359" s="4">
        <v>4.0460000000000003E-2</v>
      </c>
      <c r="F359" s="4">
        <v>2.7E-2</v>
      </c>
      <c r="G359" s="4">
        <v>1.346E-2</v>
      </c>
      <c r="H359" s="4">
        <v>-4.5900000000000003E-2</v>
      </c>
      <c r="I359" s="4">
        <v>-5.4380000000000001E-3</v>
      </c>
      <c r="J359" s="19">
        <v>35000</v>
      </c>
      <c r="K359" s="1"/>
    </row>
    <row r="360" spans="1:11">
      <c r="A360" s="4">
        <v>18</v>
      </c>
      <c r="B360" s="4">
        <v>14</v>
      </c>
      <c r="C360" s="4">
        <v>-1.8630000000000001E-2</v>
      </c>
      <c r="D360" s="4">
        <v>-8.6569999999999998E-3</v>
      </c>
      <c r="E360" s="4">
        <v>2.7189999999999999E-2</v>
      </c>
      <c r="F360" s="4">
        <v>1.9390000000000001E-2</v>
      </c>
      <c r="G360" s="4">
        <v>7.8059999999999996E-3</v>
      </c>
      <c r="H360" s="4">
        <v>-3.7159999999999999E-2</v>
      </c>
      <c r="I360" s="4">
        <v>-9.9710000000000007E-3</v>
      </c>
      <c r="J360" s="19">
        <v>37500</v>
      </c>
      <c r="K360" s="1"/>
    </row>
    <row r="361" spans="1:11">
      <c r="A361" s="4">
        <v>18</v>
      </c>
      <c r="B361" s="4">
        <v>15</v>
      </c>
      <c r="C361" s="4">
        <v>-7.3499999999999998E-3</v>
      </c>
      <c r="D361" s="4">
        <v>-2.6120000000000001E-4</v>
      </c>
      <c r="E361" s="4">
        <v>2.9479999999999999E-2</v>
      </c>
      <c r="F361" s="4">
        <v>2.1680000000000001E-2</v>
      </c>
      <c r="G361" s="4">
        <v>7.7949999999999998E-3</v>
      </c>
      <c r="H361" s="4">
        <v>-3.6569999999999998E-2</v>
      </c>
      <c r="I361" s="4">
        <v>-7.0889999999999998E-3</v>
      </c>
      <c r="J361" s="19">
        <v>56500</v>
      </c>
      <c r="K361" s="1"/>
    </row>
    <row r="362" spans="1:11">
      <c r="A362" s="4">
        <v>18</v>
      </c>
      <c r="B362" s="4">
        <v>16</v>
      </c>
      <c r="C362" s="4">
        <v>5.6379999999999998E-3</v>
      </c>
      <c r="D362" s="4">
        <v>4.2700000000000004E-3</v>
      </c>
      <c r="E362" s="4">
        <v>3.3840000000000002E-2</v>
      </c>
      <c r="F362" s="4">
        <v>2.47E-2</v>
      </c>
      <c r="G362" s="4">
        <v>9.1479999999999999E-3</v>
      </c>
      <c r="H362" s="4">
        <v>-3.2480000000000002E-2</v>
      </c>
      <c r="I362" s="4">
        <v>1.3669999999999999E-3</v>
      </c>
      <c r="J362" s="19">
        <v>52000</v>
      </c>
      <c r="K362" s="1"/>
    </row>
    <row r="363" spans="1:11">
      <c r="A363" s="4">
        <v>18</v>
      </c>
      <c r="B363" s="4">
        <v>17</v>
      </c>
      <c r="C363" s="4">
        <v>9.8549999999999992E-3</v>
      </c>
      <c r="D363" s="4">
        <v>3.4350000000000001E-3</v>
      </c>
      <c r="E363" s="4">
        <v>1.6719999999999999E-2</v>
      </c>
      <c r="F363" s="4">
        <v>8.6210000000000002E-3</v>
      </c>
      <c r="G363" s="4">
        <v>8.0960000000000008E-3</v>
      </c>
      <c r="H363" s="4">
        <v>-1.03E-2</v>
      </c>
      <c r="I363" s="4">
        <v>6.4200000000000004E-3</v>
      </c>
      <c r="J363" s="19">
        <v>82500</v>
      </c>
      <c r="K363" s="1"/>
    </row>
    <row r="364" spans="1:11">
      <c r="A364" s="4">
        <v>18</v>
      </c>
      <c r="B364" s="4">
        <v>18</v>
      </c>
      <c r="C364" s="4">
        <v>8.2279999999999992E-3</v>
      </c>
      <c r="D364" s="4">
        <v>-4.7959999999999999E-3</v>
      </c>
      <c r="E364" s="4">
        <v>1.3089999999999999E-2</v>
      </c>
      <c r="F364" s="4">
        <v>4.7530000000000003E-3</v>
      </c>
      <c r="G364" s="4">
        <v>8.3389999999999992E-3</v>
      </c>
      <c r="H364" s="4">
        <v>-6.7800000000000103E-5</v>
      </c>
      <c r="I364" s="4">
        <v>1.302E-2</v>
      </c>
      <c r="J364" s="19">
        <v>79500</v>
      </c>
      <c r="K364" s="1"/>
    </row>
    <row r="365" spans="1:11">
      <c r="A365" s="4">
        <v>18</v>
      </c>
      <c r="B365" s="4">
        <v>19</v>
      </c>
      <c r="C365" s="4">
        <v>3.124E-2</v>
      </c>
      <c r="D365" s="4">
        <v>-1.009E-2</v>
      </c>
      <c r="E365" s="4">
        <v>1.389E-2</v>
      </c>
      <c r="F365" s="4">
        <v>-1.426E-3</v>
      </c>
      <c r="G365" s="4">
        <v>1.532E-2</v>
      </c>
      <c r="H365" s="4">
        <v>2.7439999999999999E-2</v>
      </c>
      <c r="I365" s="4">
        <v>4.1329999999999999E-2</v>
      </c>
      <c r="J365" s="19">
        <v>108000</v>
      </c>
      <c r="K365" s="1"/>
    </row>
    <row r="366" spans="1:11">
      <c r="A366" s="4">
        <v>18</v>
      </c>
      <c r="B366" s="4">
        <v>20</v>
      </c>
      <c r="C366" s="4">
        <v>8.0839999999999995E-2</v>
      </c>
      <c r="D366" s="4">
        <v>-1.409E-2</v>
      </c>
      <c r="E366" s="4">
        <v>-1.478E-2</v>
      </c>
      <c r="F366" s="4">
        <v>-1.485E-2</v>
      </c>
      <c r="G366" s="4">
        <v>6.5060000000000004E-5</v>
      </c>
      <c r="H366" s="4">
        <v>0.10970000000000001</v>
      </c>
      <c r="I366" s="4">
        <v>9.493E-2</v>
      </c>
      <c r="J366" s="19">
        <v>161000</v>
      </c>
      <c r="K366" s="1"/>
    </row>
    <row r="367" spans="1:11">
      <c r="A367" s="4">
        <v>19</v>
      </c>
      <c r="B367" s="4">
        <v>1</v>
      </c>
      <c r="C367" s="4">
        <v>-0.15740000000000001</v>
      </c>
      <c r="D367" s="4">
        <v>-2.2689999999999998E-2</v>
      </c>
      <c r="E367" s="4">
        <v>5.5939999999999997E-2</v>
      </c>
      <c r="F367" s="4">
        <v>3.6380000000000003E-2</v>
      </c>
      <c r="G367" s="4">
        <v>1.9550000000000001E-2</v>
      </c>
      <c r="H367" s="4">
        <v>-0.19059999999999999</v>
      </c>
      <c r="I367" s="4">
        <v>-0.13469999999999999</v>
      </c>
      <c r="J367" s="19">
        <v>1300</v>
      </c>
      <c r="K367" s="1"/>
    </row>
    <row r="368" spans="1:11">
      <c r="A368" s="4">
        <v>19</v>
      </c>
      <c r="B368" s="4">
        <v>2</v>
      </c>
      <c r="C368" s="4">
        <v>-0.1158</v>
      </c>
      <c r="D368" s="4">
        <v>-2.2159999999999999E-2</v>
      </c>
      <c r="E368" s="4">
        <v>4.811E-2</v>
      </c>
      <c r="F368" s="4">
        <v>4.4609999999999997E-2</v>
      </c>
      <c r="G368" s="4">
        <v>3.4940000000000001E-3</v>
      </c>
      <c r="H368" s="4">
        <v>-0.14169999999999999</v>
      </c>
      <c r="I368" s="4">
        <v>-9.3630000000000005E-2</v>
      </c>
      <c r="J368" s="19">
        <v>1700</v>
      </c>
      <c r="K368" s="1"/>
    </row>
    <row r="369" spans="1:11">
      <c r="A369" s="4">
        <v>19</v>
      </c>
      <c r="B369" s="4">
        <v>3</v>
      </c>
      <c r="C369" s="4">
        <v>-7.3550000000000004E-2</v>
      </c>
      <c r="D369" s="4">
        <v>-1.6830000000000001E-2</v>
      </c>
      <c r="E369" s="4">
        <v>6.1420000000000002E-2</v>
      </c>
      <c r="F369" s="4">
        <v>5.4609999999999999E-2</v>
      </c>
      <c r="G369" s="4">
        <v>6.8129999999999996E-3</v>
      </c>
      <c r="H369" s="4">
        <v>-0.1181</v>
      </c>
      <c r="I369" s="4">
        <v>-5.672E-2</v>
      </c>
      <c r="J369" s="19">
        <v>5000</v>
      </c>
      <c r="K369" s="1"/>
    </row>
    <row r="370" spans="1:11">
      <c r="A370" s="4">
        <v>19</v>
      </c>
      <c r="B370" s="4">
        <v>4</v>
      </c>
      <c r="C370" s="4">
        <v>-6.3519999999999993E-2</v>
      </c>
      <c r="D370" s="4">
        <v>-5.3220000000000003E-3</v>
      </c>
      <c r="E370" s="4">
        <v>7.2849999999999998E-2</v>
      </c>
      <c r="F370" s="4">
        <v>6.7720000000000002E-2</v>
      </c>
      <c r="G370" s="4">
        <v>5.1229999999999999E-3</v>
      </c>
      <c r="H370" s="4">
        <v>-0.13100000000000001</v>
      </c>
      <c r="I370" s="4">
        <v>-5.8200000000000002E-2</v>
      </c>
      <c r="J370" s="19">
        <v>4500</v>
      </c>
      <c r="K370" s="1"/>
    </row>
    <row r="371" spans="1:11">
      <c r="A371" s="4">
        <v>19</v>
      </c>
      <c r="B371" s="4">
        <v>5</v>
      </c>
      <c r="C371" s="4">
        <v>-6.8150000000000002E-2</v>
      </c>
      <c r="D371" s="4">
        <v>4.241E-3</v>
      </c>
      <c r="E371" s="4">
        <v>5.5780000000000003E-2</v>
      </c>
      <c r="F371" s="4">
        <v>4.7140000000000001E-2</v>
      </c>
      <c r="G371" s="4">
        <v>8.6400000000000001E-3</v>
      </c>
      <c r="H371" s="4">
        <v>-0.12820000000000001</v>
      </c>
      <c r="I371" s="4">
        <v>-7.2389999999999996E-2</v>
      </c>
      <c r="J371" s="19">
        <v>5400</v>
      </c>
      <c r="K371" s="1"/>
    </row>
    <row r="372" spans="1:11">
      <c r="A372" s="4">
        <v>19</v>
      </c>
      <c r="B372" s="4">
        <v>6</v>
      </c>
      <c r="C372" s="4">
        <v>-5.1429999999999997E-2</v>
      </c>
      <c r="D372" s="4">
        <v>5.0000000000000001E-3</v>
      </c>
      <c r="E372" s="4">
        <v>6.0220000000000003E-2</v>
      </c>
      <c r="F372" s="4">
        <v>4.4979999999999999E-2</v>
      </c>
      <c r="G372" s="4">
        <v>1.524E-2</v>
      </c>
      <c r="H372" s="4">
        <v>-0.1166</v>
      </c>
      <c r="I372" s="4">
        <v>-5.6430000000000001E-2</v>
      </c>
      <c r="J372" s="19">
        <v>6200</v>
      </c>
      <c r="K372" s="1"/>
    </row>
    <row r="373" spans="1:11">
      <c r="A373" s="4">
        <v>19</v>
      </c>
      <c r="B373" s="4">
        <v>7</v>
      </c>
      <c r="C373" s="4">
        <v>-5.5899999999999998E-2</v>
      </c>
      <c r="D373" s="4">
        <v>2.4299999999999999E-3</v>
      </c>
      <c r="E373" s="4">
        <v>5.4420000000000003E-2</v>
      </c>
      <c r="F373" s="4">
        <v>5.1110000000000003E-2</v>
      </c>
      <c r="G373" s="4">
        <v>3.3089999999999999E-3</v>
      </c>
      <c r="H373" s="4">
        <v>-0.11269999999999999</v>
      </c>
      <c r="I373" s="4">
        <v>-5.833E-2</v>
      </c>
      <c r="J373" s="19">
        <v>7800</v>
      </c>
      <c r="K373" s="1"/>
    </row>
    <row r="374" spans="1:11">
      <c r="A374" s="4">
        <v>19</v>
      </c>
      <c r="B374" s="4">
        <v>8</v>
      </c>
      <c r="C374" s="4">
        <v>-6.2700000000000006E-2</v>
      </c>
      <c r="D374" s="4">
        <v>-1.4319999999999999E-2</v>
      </c>
      <c r="E374" s="4">
        <v>5.8349999999999999E-2</v>
      </c>
      <c r="F374" s="4">
        <v>4.1739999999999999E-2</v>
      </c>
      <c r="G374" s="4">
        <v>1.661E-2</v>
      </c>
      <c r="H374" s="4">
        <v>-0.1067</v>
      </c>
      <c r="I374" s="4">
        <v>-4.8379999999999999E-2</v>
      </c>
      <c r="J374" s="19">
        <v>10500</v>
      </c>
      <c r="K374" s="1"/>
    </row>
    <row r="375" spans="1:11">
      <c r="A375" s="4">
        <v>19</v>
      </c>
      <c r="B375" s="4">
        <v>9</v>
      </c>
      <c r="C375" s="4">
        <v>-3.2300000000000002E-2</v>
      </c>
      <c r="D375" s="4">
        <v>-4.2030000000000002E-4</v>
      </c>
      <c r="E375" s="4">
        <v>6.5329999999999999E-2</v>
      </c>
      <c r="F375" s="4">
        <v>4.539E-2</v>
      </c>
      <c r="G375" s="4">
        <v>1.9939999999999999E-2</v>
      </c>
      <c r="H375" s="4">
        <v>-9.7210000000000005E-2</v>
      </c>
      <c r="I375" s="4">
        <v>-3.1879999999999999E-2</v>
      </c>
      <c r="J375" s="19">
        <v>15500</v>
      </c>
      <c r="K375" s="1"/>
    </row>
    <row r="376" spans="1:11">
      <c r="A376" s="4">
        <v>19</v>
      </c>
      <c r="B376" s="4">
        <v>10</v>
      </c>
      <c r="C376" s="4">
        <v>-4.1430000000000002E-2</v>
      </c>
      <c r="D376" s="4">
        <v>-1.2370000000000001E-2</v>
      </c>
      <c r="E376" s="4">
        <v>5.0439999999999999E-2</v>
      </c>
      <c r="F376" s="4">
        <v>4.4990000000000002E-2</v>
      </c>
      <c r="G376" s="4">
        <v>5.4489999999999999E-3</v>
      </c>
      <c r="H376" s="4">
        <v>-7.9500000000000001E-2</v>
      </c>
      <c r="I376" s="4">
        <v>-2.9059999999999999E-2</v>
      </c>
      <c r="J376" s="19">
        <v>14500</v>
      </c>
      <c r="K376" s="1"/>
    </row>
    <row r="377" spans="1:11">
      <c r="A377" s="4">
        <v>19</v>
      </c>
      <c r="B377" s="4">
        <v>11</v>
      </c>
      <c r="C377" s="4">
        <v>-3.5340000000000003E-2</v>
      </c>
      <c r="D377" s="4">
        <v>-5.1489999999999999E-3</v>
      </c>
      <c r="E377" s="4">
        <v>5.0319999999999997E-2</v>
      </c>
      <c r="F377" s="4">
        <v>4.3929999999999997E-2</v>
      </c>
      <c r="G377" s="4">
        <v>6.3889999999999997E-3</v>
      </c>
      <c r="H377" s="4">
        <v>-8.0509999999999998E-2</v>
      </c>
      <c r="I377" s="4">
        <v>-3.0190000000000002E-2</v>
      </c>
      <c r="J377" s="19">
        <v>16000</v>
      </c>
      <c r="K377" s="1"/>
    </row>
    <row r="378" spans="1:11">
      <c r="A378" s="4">
        <v>19</v>
      </c>
      <c r="B378" s="4">
        <v>12</v>
      </c>
      <c r="C378" s="4">
        <v>-3.4959999999999998E-2</v>
      </c>
      <c r="D378" s="4">
        <v>-8.7089999999999997E-4</v>
      </c>
      <c r="E378" s="4">
        <v>5.8220000000000001E-2</v>
      </c>
      <c r="F378" s="4">
        <v>5.0119999999999998E-2</v>
      </c>
      <c r="G378" s="4">
        <v>8.0960000000000008E-3</v>
      </c>
      <c r="H378" s="4">
        <v>-9.2299999999999993E-2</v>
      </c>
      <c r="I378" s="4">
        <v>-3.4090000000000002E-2</v>
      </c>
      <c r="J378" s="19">
        <v>25500</v>
      </c>
      <c r="K378" s="1"/>
    </row>
    <row r="379" spans="1:11">
      <c r="A379" s="4">
        <v>19</v>
      </c>
      <c r="B379" s="4">
        <v>13</v>
      </c>
      <c r="C379" s="4">
        <v>-3.8010000000000002E-2</v>
      </c>
      <c r="D379" s="4">
        <v>-2.4299999999999999E-3</v>
      </c>
      <c r="E379" s="4">
        <v>5.0790000000000002E-2</v>
      </c>
      <c r="F379" s="4">
        <v>3.9E-2</v>
      </c>
      <c r="G379" s="4">
        <v>1.18E-2</v>
      </c>
      <c r="H379" s="4">
        <v>-8.6370000000000002E-2</v>
      </c>
      <c r="I379" s="4">
        <v>-3.5580000000000001E-2</v>
      </c>
      <c r="J379" s="19">
        <v>22000</v>
      </c>
      <c r="K379" s="1"/>
    </row>
    <row r="380" spans="1:11">
      <c r="A380" s="4">
        <v>19</v>
      </c>
      <c r="B380" s="4">
        <v>14</v>
      </c>
      <c r="C380" s="4">
        <v>-3.3329999999999999E-2</v>
      </c>
      <c r="D380" s="4">
        <v>7.515E-3</v>
      </c>
      <c r="E380" s="4">
        <v>3.4389999999999997E-2</v>
      </c>
      <c r="F380" s="4">
        <v>3.0470000000000001E-2</v>
      </c>
      <c r="G380" s="4">
        <v>3.921E-3</v>
      </c>
      <c r="H380" s="4">
        <v>-7.5240000000000001E-2</v>
      </c>
      <c r="I380" s="4">
        <v>-4.0849999999999997E-2</v>
      </c>
      <c r="J380" s="19">
        <v>25000</v>
      </c>
      <c r="K380" s="1"/>
    </row>
    <row r="381" spans="1:11">
      <c r="A381" s="4">
        <v>19</v>
      </c>
      <c r="B381" s="4">
        <v>15</v>
      </c>
      <c r="C381" s="4">
        <v>-1.1950000000000001E-2</v>
      </c>
      <c r="D381" s="4">
        <v>8.6370000000000006E-3</v>
      </c>
      <c r="E381" s="4">
        <v>4.2700000000000002E-2</v>
      </c>
      <c r="F381" s="4">
        <v>3.3480000000000003E-2</v>
      </c>
      <c r="G381" s="4">
        <v>9.2200000000000008E-3</v>
      </c>
      <c r="H381" s="4">
        <v>-6.3280000000000003E-2</v>
      </c>
      <c r="I381" s="4">
        <v>-2.0580000000000001E-2</v>
      </c>
      <c r="J381" s="19">
        <v>40500</v>
      </c>
      <c r="K381" s="1"/>
    </row>
    <row r="382" spans="1:11">
      <c r="A382" s="4">
        <v>19</v>
      </c>
      <c r="B382" s="4">
        <v>16</v>
      </c>
      <c r="C382" s="4">
        <v>-1.8440000000000002E-2</v>
      </c>
      <c r="D382" s="4">
        <v>-5.7700000000000004E-4</v>
      </c>
      <c r="E382" s="4">
        <v>4.4429999999999997E-2</v>
      </c>
      <c r="F382" s="4">
        <v>3.3020000000000001E-2</v>
      </c>
      <c r="G382" s="4">
        <v>1.141E-2</v>
      </c>
      <c r="H382" s="4">
        <v>-6.2289999999999998E-2</v>
      </c>
      <c r="I382" s="4">
        <v>-1.7860000000000001E-2</v>
      </c>
      <c r="J382" s="19">
        <v>68500</v>
      </c>
      <c r="K382" s="1"/>
    </row>
    <row r="383" spans="1:11">
      <c r="A383" s="4">
        <v>19</v>
      </c>
      <c r="B383" s="4">
        <v>17</v>
      </c>
      <c r="C383" s="4">
        <v>-1.2829999999999999E-2</v>
      </c>
      <c r="D383" s="4">
        <v>2.7959999999999999E-3</v>
      </c>
      <c r="E383" s="4">
        <v>3.7359999999999997E-2</v>
      </c>
      <c r="F383" s="4">
        <v>3.0700000000000002E-2</v>
      </c>
      <c r="G383" s="4">
        <v>6.6569999999999997E-3</v>
      </c>
      <c r="H383" s="4">
        <v>-5.2979999999999999E-2</v>
      </c>
      <c r="I383" s="4">
        <v>-1.562E-2</v>
      </c>
      <c r="J383" s="19">
        <v>90000</v>
      </c>
      <c r="K383" s="1"/>
    </row>
    <row r="384" spans="1:11">
      <c r="A384" s="4">
        <v>19</v>
      </c>
      <c r="B384" s="4">
        <v>18</v>
      </c>
      <c r="C384" s="4">
        <v>-1.235E-3</v>
      </c>
      <c r="D384" s="4">
        <v>8.2489999999999994E-3</v>
      </c>
      <c r="E384" s="4">
        <v>1.856E-2</v>
      </c>
      <c r="F384" s="4">
        <v>1.7770000000000001E-2</v>
      </c>
      <c r="G384" s="4">
        <v>7.9509999999999997E-4</v>
      </c>
      <c r="H384" s="4">
        <v>-2.8049999999999999E-2</v>
      </c>
      <c r="I384" s="4">
        <v>-9.4839999999999994E-3</v>
      </c>
      <c r="J384" s="19">
        <v>104000</v>
      </c>
      <c r="K384" s="1"/>
    </row>
    <row r="385" spans="1:11">
      <c r="A385" s="4">
        <v>19</v>
      </c>
      <c r="B385" s="4">
        <v>19</v>
      </c>
      <c r="C385" s="4">
        <v>1.2670000000000001E-2</v>
      </c>
      <c r="D385" s="4">
        <v>-9.3539999999999995E-3</v>
      </c>
      <c r="E385" s="4">
        <v>2.3619999999999999E-2</v>
      </c>
      <c r="F385" s="4">
        <v>1.5990000000000001E-2</v>
      </c>
      <c r="G385" s="4">
        <v>7.633E-3</v>
      </c>
      <c r="H385" s="4">
        <v>-1.6000000000000001E-3</v>
      </c>
      <c r="I385" s="4">
        <v>2.2020000000000001E-2</v>
      </c>
      <c r="J385" s="19">
        <v>135000</v>
      </c>
      <c r="K385" s="1"/>
    </row>
    <row r="386" spans="1:11">
      <c r="A386" s="4">
        <v>19</v>
      </c>
      <c r="B386" s="4">
        <v>20</v>
      </c>
      <c r="C386" s="4">
        <v>6.7080000000000001E-2</v>
      </c>
      <c r="D386" s="4">
        <v>-9.8499999999999994E-3</v>
      </c>
      <c r="E386" s="4">
        <v>1.2589999999999999E-3</v>
      </c>
      <c r="F386" s="4">
        <v>2.313E-3</v>
      </c>
      <c r="G386" s="4">
        <v>-1.054E-3</v>
      </c>
      <c r="H386" s="4">
        <v>7.5670000000000001E-2</v>
      </c>
      <c r="I386" s="4">
        <v>7.6929999999999998E-2</v>
      </c>
      <c r="J386" s="19">
        <v>277000</v>
      </c>
      <c r="K386" s="1"/>
    </row>
    <row r="387" spans="1:11">
      <c r="A387" s="4">
        <v>20</v>
      </c>
      <c r="B387" s="4">
        <v>1</v>
      </c>
      <c r="C387" s="4">
        <v>-0.26929999999999998</v>
      </c>
      <c r="D387" s="4">
        <v>-1.95E-2</v>
      </c>
      <c r="E387" s="4">
        <v>5.5350000000000003E-2</v>
      </c>
      <c r="F387" s="4">
        <v>4.0869999999999997E-2</v>
      </c>
      <c r="G387" s="4">
        <v>1.448E-2</v>
      </c>
      <c r="H387" s="4">
        <v>-0.30509999999999998</v>
      </c>
      <c r="I387" s="4">
        <v>-0.24979999999999999</v>
      </c>
      <c r="J387" s="19">
        <v>650</v>
      </c>
      <c r="K387" s="1"/>
    </row>
    <row r="388" spans="1:11">
      <c r="A388" s="4">
        <v>20</v>
      </c>
      <c r="B388" s="4">
        <v>2</v>
      </c>
      <c r="C388" s="4">
        <v>-0.18629999999999999</v>
      </c>
      <c r="D388" s="4">
        <v>-2.0729999999999998E-2</v>
      </c>
      <c r="E388" s="4">
        <v>7.4889999999999998E-2</v>
      </c>
      <c r="F388" s="4">
        <v>5.1589999999999997E-2</v>
      </c>
      <c r="G388" s="4">
        <v>2.3300000000000001E-2</v>
      </c>
      <c r="H388" s="4">
        <v>-0.2404</v>
      </c>
      <c r="I388" s="4">
        <v>-0.16550000000000001</v>
      </c>
      <c r="J388" s="19">
        <v>1600</v>
      </c>
      <c r="K388" s="1"/>
    </row>
    <row r="389" spans="1:11">
      <c r="A389" s="4">
        <v>20</v>
      </c>
      <c r="B389" s="4">
        <v>3</v>
      </c>
      <c r="C389" s="4">
        <v>-0.17879999999999999</v>
      </c>
      <c r="D389" s="4">
        <v>5.483E-3</v>
      </c>
      <c r="E389" s="4">
        <v>5.9420000000000001E-2</v>
      </c>
      <c r="F389" s="4">
        <v>5.3260000000000002E-2</v>
      </c>
      <c r="G389" s="4">
        <v>6.1650000000000003E-3</v>
      </c>
      <c r="H389" s="4">
        <v>-0.2437</v>
      </c>
      <c r="I389" s="4">
        <v>-0.18429999999999999</v>
      </c>
      <c r="J389" s="19">
        <v>2300</v>
      </c>
      <c r="K389" s="1"/>
    </row>
    <row r="390" spans="1:11">
      <c r="A390" s="4">
        <v>20</v>
      </c>
      <c r="B390" s="4">
        <v>4</v>
      </c>
      <c r="C390" s="4">
        <v>-0.1928</v>
      </c>
      <c r="D390" s="4">
        <v>-2.8400000000000002E-2</v>
      </c>
      <c r="E390" s="4">
        <v>6.8790000000000004E-2</v>
      </c>
      <c r="F390" s="4">
        <v>5.2630000000000003E-2</v>
      </c>
      <c r="G390" s="4">
        <v>1.6160000000000001E-2</v>
      </c>
      <c r="H390" s="4">
        <v>-0.23319999999999999</v>
      </c>
      <c r="I390" s="4">
        <v>-0.16439999999999999</v>
      </c>
      <c r="J390" s="19">
        <v>3100</v>
      </c>
      <c r="K390" s="1"/>
    </row>
    <row r="391" spans="1:11">
      <c r="A391" s="4">
        <v>20</v>
      </c>
      <c r="B391" s="4">
        <v>5</v>
      </c>
      <c r="C391" s="4">
        <v>-0.15390000000000001</v>
      </c>
      <c r="D391" s="4">
        <v>4.6059999999999999E-3</v>
      </c>
      <c r="E391" s="4">
        <v>5.4679999999999999E-2</v>
      </c>
      <c r="F391" s="4">
        <v>4.3630000000000002E-2</v>
      </c>
      <c r="G391" s="4">
        <v>1.1050000000000001E-2</v>
      </c>
      <c r="H391" s="4">
        <v>-0.2132</v>
      </c>
      <c r="I391" s="4">
        <v>-0.1585</v>
      </c>
      <c r="J391" s="19">
        <v>4200</v>
      </c>
      <c r="K391" s="1"/>
    </row>
    <row r="392" spans="1:11">
      <c r="A392" s="4">
        <v>20</v>
      </c>
      <c r="B392" s="4">
        <v>6</v>
      </c>
      <c r="C392" s="4">
        <v>-0.1406</v>
      </c>
      <c r="D392" s="4">
        <v>2.3990000000000001E-2</v>
      </c>
      <c r="E392" s="4">
        <v>5.0790000000000002E-2</v>
      </c>
      <c r="F392" s="4">
        <v>3.5479999999999998E-2</v>
      </c>
      <c r="G392" s="4">
        <v>1.5310000000000001E-2</v>
      </c>
      <c r="H392" s="4">
        <v>-0.21540000000000001</v>
      </c>
      <c r="I392" s="4">
        <v>-0.1646</v>
      </c>
      <c r="J392" s="19">
        <v>4900</v>
      </c>
      <c r="K392" s="1"/>
    </row>
    <row r="393" spans="1:11">
      <c r="A393" s="4">
        <v>20</v>
      </c>
      <c r="B393" s="4">
        <v>7</v>
      </c>
      <c r="C393" s="4">
        <v>-0.1734</v>
      </c>
      <c r="D393" s="4">
        <v>-2.2190000000000001E-2</v>
      </c>
      <c r="E393" s="4">
        <v>6.5019999999999994E-2</v>
      </c>
      <c r="F393" s="4">
        <v>5.3609999999999998E-2</v>
      </c>
      <c r="G393" s="4">
        <v>1.141E-2</v>
      </c>
      <c r="H393" s="4">
        <v>-0.2162</v>
      </c>
      <c r="I393" s="4">
        <v>-0.1512</v>
      </c>
      <c r="J393" s="19">
        <v>6700</v>
      </c>
      <c r="K393" s="1"/>
    </row>
    <row r="394" spans="1:11">
      <c r="A394" s="4">
        <v>20</v>
      </c>
      <c r="B394" s="4">
        <v>8</v>
      </c>
      <c r="C394" s="4">
        <v>-0.16880000000000001</v>
      </c>
      <c r="D394" s="4">
        <v>-1.8919999999999999E-2</v>
      </c>
      <c r="E394" s="4">
        <v>6.0909999999999999E-2</v>
      </c>
      <c r="F394" s="4">
        <v>4.4790000000000003E-2</v>
      </c>
      <c r="G394" s="4">
        <v>1.6119999999999999E-2</v>
      </c>
      <c r="H394" s="4">
        <v>-0.21079999999999999</v>
      </c>
      <c r="I394" s="4">
        <v>-0.14990000000000001</v>
      </c>
      <c r="J394" s="19">
        <v>5700</v>
      </c>
      <c r="K394" s="1"/>
    </row>
    <row r="395" spans="1:11">
      <c r="A395" s="4">
        <v>20</v>
      </c>
      <c r="B395" s="4">
        <v>9</v>
      </c>
      <c r="C395" s="4">
        <v>-7.0319999999999994E-2</v>
      </c>
      <c r="D395" s="4">
        <v>3.0499999999999999E-2</v>
      </c>
      <c r="E395" s="4">
        <v>8.0769999999999995E-2</v>
      </c>
      <c r="F395" s="4">
        <v>6.0929999999999998E-2</v>
      </c>
      <c r="G395" s="4">
        <v>1.984E-2</v>
      </c>
      <c r="H395" s="4">
        <v>-0.18160000000000001</v>
      </c>
      <c r="I395" s="4">
        <v>-0.1008</v>
      </c>
      <c r="J395" s="19">
        <v>8300</v>
      </c>
      <c r="K395" s="1"/>
    </row>
    <row r="396" spans="1:11">
      <c r="A396" s="4">
        <v>20</v>
      </c>
      <c r="B396" s="4">
        <v>10</v>
      </c>
      <c r="C396" s="4">
        <v>-9.7089999999999996E-2</v>
      </c>
      <c r="D396" s="4">
        <v>4.3699999999999998E-3</v>
      </c>
      <c r="E396" s="4">
        <v>6.9819999999999993E-2</v>
      </c>
      <c r="F396" s="4">
        <v>5.6309999999999999E-2</v>
      </c>
      <c r="G396" s="4">
        <v>1.3509999999999999E-2</v>
      </c>
      <c r="H396" s="4">
        <v>-0.17130000000000001</v>
      </c>
      <c r="I396" s="4">
        <v>-0.10150000000000001</v>
      </c>
      <c r="J396" s="19">
        <v>10000</v>
      </c>
      <c r="K396" s="1"/>
    </row>
    <row r="397" spans="1:11">
      <c r="A397" s="4">
        <v>20</v>
      </c>
      <c r="B397" s="4">
        <v>11</v>
      </c>
      <c r="C397" s="4">
        <v>-0.1041</v>
      </c>
      <c r="D397" s="4">
        <v>-3.163E-3</v>
      </c>
      <c r="E397" s="4">
        <v>7.2840000000000002E-2</v>
      </c>
      <c r="F397" s="4">
        <v>5.4760000000000003E-2</v>
      </c>
      <c r="G397" s="4">
        <v>1.8089999999999998E-2</v>
      </c>
      <c r="H397" s="4">
        <v>-0.17369999999999999</v>
      </c>
      <c r="I397" s="4">
        <v>-0.1009</v>
      </c>
      <c r="J397" s="19">
        <v>10500</v>
      </c>
      <c r="K397" s="1"/>
    </row>
    <row r="398" spans="1:11">
      <c r="A398" s="4">
        <v>20</v>
      </c>
      <c r="B398" s="4">
        <v>12</v>
      </c>
      <c r="C398" s="4">
        <v>-0.1017</v>
      </c>
      <c r="D398" s="4">
        <v>1.068E-2</v>
      </c>
      <c r="E398" s="4">
        <v>7.1069999999999994E-2</v>
      </c>
      <c r="F398" s="4">
        <v>6.1420000000000002E-2</v>
      </c>
      <c r="G398" s="4">
        <v>9.6530000000000001E-3</v>
      </c>
      <c r="H398" s="4">
        <v>-0.1835</v>
      </c>
      <c r="I398" s="4">
        <v>-0.1124</v>
      </c>
      <c r="J398" s="19">
        <v>19000</v>
      </c>
      <c r="K398" s="1"/>
    </row>
    <row r="399" spans="1:11">
      <c r="A399" s="4">
        <v>20</v>
      </c>
      <c r="B399" s="4">
        <v>13</v>
      </c>
      <c r="C399" s="4">
        <v>-0.111</v>
      </c>
      <c r="D399" s="4">
        <v>-8.4460000000000096E-5</v>
      </c>
      <c r="E399" s="4">
        <v>5.688E-2</v>
      </c>
      <c r="F399" s="4">
        <v>4.4839999999999998E-2</v>
      </c>
      <c r="G399" s="4">
        <v>1.204E-2</v>
      </c>
      <c r="H399" s="4">
        <v>-0.16769999999999999</v>
      </c>
      <c r="I399" s="4">
        <v>-0.1109</v>
      </c>
      <c r="J399" s="19">
        <v>24500</v>
      </c>
      <c r="K399" s="1"/>
    </row>
    <row r="400" spans="1:11">
      <c r="A400" s="4">
        <v>20</v>
      </c>
      <c r="B400" s="4">
        <v>14</v>
      </c>
      <c r="C400" s="4">
        <v>-8.9690000000000006E-2</v>
      </c>
      <c r="D400" s="4">
        <v>5.0359999999999997E-3</v>
      </c>
      <c r="E400" s="4">
        <v>5.7779999999999998E-2</v>
      </c>
      <c r="F400" s="4">
        <v>5.0369999999999998E-2</v>
      </c>
      <c r="G400" s="4">
        <v>7.4120000000000002E-3</v>
      </c>
      <c r="H400" s="4">
        <v>-0.1525</v>
      </c>
      <c r="I400" s="4">
        <v>-9.4729999999999995E-2</v>
      </c>
      <c r="J400" s="19">
        <v>40000</v>
      </c>
      <c r="K400" s="1"/>
    </row>
    <row r="401" spans="1:11">
      <c r="A401" s="4">
        <v>20</v>
      </c>
      <c r="B401" s="4">
        <v>15</v>
      </c>
      <c r="C401" s="4">
        <v>-5.6050000000000003E-2</v>
      </c>
      <c r="D401" s="4">
        <v>1.9029999999999998E-2</v>
      </c>
      <c r="E401" s="4">
        <v>6.8070000000000006E-2</v>
      </c>
      <c r="F401" s="4">
        <v>5.5559999999999998E-2</v>
      </c>
      <c r="G401" s="4">
        <v>1.2500000000000001E-2</v>
      </c>
      <c r="H401" s="4">
        <v>-0.1431</v>
      </c>
      <c r="I401" s="4">
        <v>-7.5069999999999998E-2</v>
      </c>
      <c r="J401" s="19">
        <v>39500</v>
      </c>
      <c r="K401" s="1"/>
    </row>
    <row r="402" spans="1:11">
      <c r="A402" s="4">
        <v>20</v>
      </c>
      <c r="B402" s="4">
        <v>16</v>
      </c>
      <c r="C402" s="4">
        <v>-6.2030000000000002E-2</v>
      </c>
      <c r="D402" s="4">
        <v>8.9409999999999993E-3</v>
      </c>
      <c r="E402" s="4">
        <v>6.2080000000000003E-2</v>
      </c>
      <c r="F402" s="4">
        <v>4.8099999999999997E-2</v>
      </c>
      <c r="G402" s="4">
        <v>1.3979999999999999E-2</v>
      </c>
      <c r="H402" s="4">
        <v>-0.1331</v>
      </c>
      <c r="I402" s="4">
        <v>-7.0970000000000005E-2</v>
      </c>
      <c r="J402" s="19">
        <v>71500</v>
      </c>
      <c r="K402" s="1"/>
    </row>
    <row r="403" spans="1:11">
      <c r="A403" s="4">
        <v>20</v>
      </c>
      <c r="B403" s="4">
        <v>17</v>
      </c>
      <c r="C403" s="4">
        <v>-4.6929999999999999E-2</v>
      </c>
      <c r="D403" s="4">
        <v>1.8669999999999999E-2</v>
      </c>
      <c r="E403" s="4">
        <v>6.3100000000000003E-2</v>
      </c>
      <c r="F403" s="4">
        <v>5.287E-2</v>
      </c>
      <c r="G403" s="4">
        <v>1.023E-2</v>
      </c>
      <c r="H403" s="4">
        <v>-0.12870000000000001</v>
      </c>
      <c r="I403" s="4">
        <v>-6.5600000000000006E-2</v>
      </c>
      <c r="J403" s="19">
        <v>106000</v>
      </c>
      <c r="K403" s="1"/>
    </row>
    <row r="404" spans="1:11">
      <c r="A404" s="4">
        <v>20</v>
      </c>
      <c r="B404" s="4">
        <v>18</v>
      </c>
      <c r="C404" s="4">
        <v>-4.1009999999999998E-2</v>
      </c>
      <c r="D404" s="4">
        <v>1.0710000000000001E-2</v>
      </c>
      <c r="E404" s="4">
        <v>5.6149999999999999E-2</v>
      </c>
      <c r="F404" s="4">
        <v>4.4249999999999998E-2</v>
      </c>
      <c r="G404" s="4">
        <v>1.1900000000000001E-2</v>
      </c>
      <c r="H404" s="4">
        <v>-0.1079</v>
      </c>
      <c r="I404" s="4">
        <v>-5.1720000000000002E-2</v>
      </c>
      <c r="J404" s="19">
        <v>161000</v>
      </c>
      <c r="K404" s="1"/>
    </row>
    <row r="405" spans="1:11">
      <c r="A405" s="4">
        <v>20</v>
      </c>
      <c r="B405" s="4">
        <v>19</v>
      </c>
      <c r="C405" s="4">
        <v>-1.8249999999999999E-2</v>
      </c>
      <c r="D405" s="4">
        <v>7.7349999999999997E-3</v>
      </c>
      <c r="E405" s="4">
        <v>5.0520000000000002E-2</v>
      </c>
      <c r="F405" s="4">
        <v>3.7039999999999997E-2</v>
      </c>
      <c r="G405" s="4">
        <v>1.3480000000000001E-2</v>
      </c>
      <c r="H405" s="4">
        <v>-7.6499999999999999E-2</v>
      </c>
      <c r="I405" s="4">
        <v>-2.5989999999999999E-2</v>
      </c>
      <c r="J405" s="19">
        <v>283000</v>
      </c>
      <c r="K405" s="1"/>
    </row>
    <row r="406" spans="1:11">
      <c r="A406" s="4">
        <v>20</v>
      </c>
      <c r="B406" s="4">
        <v>20</v>
      </c>
      <c r="C406" s="4">
        <v>2.844E-2</v>
      </c>
      <c r="D406" s="4">
        <v>-1.021E-2</v>
      </c>
      <c r="E406" s="4">
        <v>3.7150000000000002E-2</v>
      </c>
      <c r="F406" s="4">
        <v>3.0689999999999999E-2</v>
      </c>
      <c r="G406" s="4">
        <v>6.4520000000000003E-3</v>
      </c>
      <c r="H406" s="4">
        <v>1.5020000000000001E-3</v>
      </c>
      <c r="I406" s="4">
        <v>3.8649999999999997E-2</v>
      </c>
      <c r="J406" s="19">
        <v>937000</v>
      </c>
      <c r="K406" s="1"/>
    </row>
  </sheetData>
  <mergeCells count="1">
    <mergeCell ref="C5:I5"/>
  </mergeCells>
  <pageMargins left="0.7" right="0.7" top="0.75" bottom="0.75" header="0.3" footer="0.3"/>
  <pageSetup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"/>
  <sheetViews>
    <sheetView zoomScale="82" zoomScaleNormal="55" workbookViewId="0">
      <selection activeCell="H14" sqref="A4:H14"/>
    </sheetView>
  </sheetViews>
  <sheetFormatPr baseColWidth="10" defaultColWidth="8.83203125" defaultRowHeight="15"/>
  <cols>
    <col min="1" max="1" width="32" bestFit="1" customWidth="1"/>
    <col min="2" max="5" width="20.6640625" style="1" customWidth="1"/>
    <col min="6" max="7" width="20.6640625" customWidth="1"/>
    <col min="8" max="8" width="20.6640625" style="27" customWidth="1"/>
  </cols>
  <sheetData>
    <row r="1" spans="1:8">
      <c r="A1" s="2" t="s">
        <v>349</v>
      </c>
      <c r="F1" s="11"/>
      <c r="G1" s="1"/>
      <c r="H1" s="7"/>
    </row>
    <row r="2" spans="1:8">
      <c r="A2" s="9"/>
      <c r="B2" s="8"/>
      <c r="C2" s="8"/>
      <c r="D2" s="8"/>
      <c r="E2" s="8"/>
      <c r="F2" s="8"/>
      <c r="H2" s="2"/>
    </row>
    <row r="3" spans="1:8">
      <c r="B3" s="25"/>
      <c r="C3" s="25"/>
      <c r="D3" s="25"/>
      <c r="E3" s="25"/>
      <c r="F3" s="25"/>
      <c r="G3" s="25"/>
      <c r="H3" s="25"/>
    </row>
    <row r="4" spans="1:8">
      <c r="F4" s="1"/>
      <c r="G4" s="1"/>
      <c r="H4" s="7"/>
    </row>
    <row r="5" spans="1:8">
      <c r="B5" s="4" t="s">
        <v>350</v>
      </c>
      <c r="C5" s="58" t="s">
        <v>351</v>
      </c>
      <c r="D5" s="59"/>
      <c r="E5" s="59"/>
      <c r="F5" s="59"/>
      <c r="G5" s="59"/>
      <c r="H5" s="7"/>
    </row>
    <row r="6" spans="1:8">
      <c r="A6" t="str">
        <f>""</f>
        <v/>
      </c>
      <c r="B6" s="1" t="str">
        <f>"dy"</f>
        <v>dy</v>
      </c>
      <c r="C6" s="1" t="str">
        <f>"A"</f>
        <v>A</v>
      </c>
      <c r="D6" s="1" t="str">
        <f>"B"</f>
        <v>B</v>
      </c>
      <c r="E6" s="1" t="str">
        <f>"C"</f>
        <v>C</v>
      </c>
      <c r="F6" s="1" t="str">
        <f>"D"</f>
        <v>D</v>
      </c>
      <c r="G6" s="1" t="str">
        <f>"E"</f>
        <v>E</v>
      </c>
      <c r="H6" s="4" t="s">
        <v>352</v>
      </c>
    </row>
    <row r="7" spans="1:8">
      <c r="A7" t="str">
        <f>"mlogwage4"</f>
        <v>mlogwage4</v>
      </c>
      <c r="B7" s="4" t="s">
        <v>356</v>
      </c>
      <c r="C7" s="4" t="s">
        <v>357</v>
      </c>
      <c r="D7" s="4" t="s">
        <v>358</v>
      </c>
      <c r="E7" s="4" t="s">
        <v>359</v>
      </c>
      <c r="F7" s="4" t="s">
        <v>360</v>
      </c>
      <c r="G7" s="4" t="s">
        <v>361</v>
      </c>
      <c r="H7" s="4">
        <v>6.7699999999999996E-2</v>
      </c>
    </row>
    <row r="8" spans="1:8">
      <c r="A8" t="str">
        <f>""</f>
        <v/>
      </c>
      <c r="B8" s="4" t="s">
        <v>362</v>
      </c>
      <c r="C8" s="4" t="s">
        <v>363</v>
      </c>
      <c r="D8" s="4" t="s">
        <v>364</v>
      </c>
      <c r="E8" s="4" t="s">
        <v>353</v>
      </c>
      <c r="F8" s="4" t="s">
        <v>365</v>
      </c>
      <c r="G8" s="4" t="s">
        <v>366</v>
      </c>
      <c r="H8" s="42" t="s">
        <v>432</v>
      </c>
    </row>
    <row r="9" spans="1:8">
      <c r="B9" s="4"/>
      <c r="C9" s="4"/>
      <c r="D9" s="4"/>
      <c r="E9" s="4"/>
      <c r="F9" s="4"/>
      <c r="G9" s="4"/>
      <c r="H9" s="4"/>
    </row>
    <row r="10" spans="1:8">
      <c r="B10" s="4" t="s">
        <v>367</v>
      </c>
      <c r="C10" s="4" t="s">
        <v>368</v>
      </c>
      <c r="D10" s="4" t="s">
        <v>369</v>
      </c>
      <c r="E10" s="4" t="s">
        <v>370</v>
      </c>
      <c r="F10" s="4" t="s">
        <v>371</v>
      </c>
      <c r="G10" s="4" t="s">
        <v>372</v>
      </c>
      <c r="H10" s="4">
        <v>6.4700000000000001E-3</v>
      </c>
    </row>
    <row r="11" spans="1:8">
      <c r="A11" t="str">
        <f>"logsize_c"</f>
        <v>logsize_c</v>
      </c>
      <c r="B11" s="4" t="s">
        <v>373</v>
      </c>
      <c r="C11" s="4" t="s">
        <v>374</v>
      </c>
      <c r="D11" s="4" t="s">
        <v>375</v>
      </c>
      <c r="E11" s="4" t="s">
        <v>354</v>
      </c>
      <c r="F11" s="4" t="s">
        <v>376</v>
      </c>
      <c r="G11" s="4" t="s">
        <v>377</v>
      </c>
      <c r="H11" s="42" t="s">
        <v>433</v>
      </c>
    </row>
    <row r="12" spans="1:8">
      <c r="A12" t="str">
        <f>""</f>
        <v/>
      </c>
      <c r="B12" s="4"/>
      <c r="C12" s="4"/>
      <c r="D12" s="4"/>
      <c r="E12" s="4"/>
      <c r="F12" s="4"/>
      <c r="G12" s="4"/>
      <c r="H12" s="4"/>
    </row>
    <row r="13" spans="1:8">
      <c r="B13" s="4"/>
      <c r="C13" s="4"/>
      <c r="D13" s="4"/>
      <c r="E13" s="4"/>
      <c r="F13" s="4"/>
      <c r="G13" s="4"/>
      <c r="H13" s="4"/>
    </row>
    <row r="14" spans="1:8">
      <c r="A14" s="2" t="s">
        <v>355</v>
      </c>
      <c r="B14" s="19" t="s">
        <v>378</v>
      </c>
      <c r="C14" s="19" t="s">
        <v>378</v>
      </c>
      <c r="D14" s="19" t="s">
        <v>378</v>
      </c>
      <c r="E14" s="19" t="s">
        <v>378</v>
      </c>
      <c r="F14" s="19" t="s">
        <v>378</v>
      </c>
      <c r="G14" s="19" t="s">
        <v>378</v>
      </c>
      <c r="H14" s="19" t="s">
        <v>378</v>
      </c>
    </row>
  </sheetData>
  <mergeCells count="1">
    <mergeCell ref="C5:G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24"/>
  <sheetViews>
    <sheetView zoomScale="85" zoomScaleNormal="85" workbookViewId="0">
      <selection activeCell="H4" sqref="H4:O20"/>
    </sheetView>
  </sheetViews>
  <sheetFormatPr baseColWidth="10" defaultColWidth="8.83203125" defaultRowHeight="15"/>
  <cols>
    <col min="1" max="1" width="19.33203125" customWidth="1"/>
    <col min="2" max="2" width="13.83203125" bestFit="1" customWidth="1"/>
    <col min="3" max="3" width="30.83203125" customWidth="1"/>
    <col min="4" max="4" width="16.1640625" bestFit="1" customWidth="1"/>
    <col min="8" max="9" width="15.5" customWidth="1"/>
    <col min="13" max="13" width="11.83203125" style="54" bestFit="1" customWidth="1"/>
    <col min="15" max="15" width="18.83203125" bestFit="1" customWidth="1"/>
  </cols>
  <sheetData>
    <row r="1" spans="1:16">
      <c r="A1" s="2" t="s">
        <v>379</v>
      </c>
      <c r="B1" s="11"/>
    </row>
    <row r="2" spans="1:16">
      <c r="A2" s="9"/>
    </row>
    <row r="3" spans="1:16">
      <c r="B3" s="28"/>
    </row>
    <row r="4" spans="1:16">
      <c r="B4" s="29" t="s">
        <v>14</v>
      </c>
      <c r="D4" s="63" t="s">
        <v>595</v>
      </c>
      <c r="E4" s="63"/>
      <c r="H4" s="64" t="s">
        <v>597</v>
      </c>
      <c r="I4" s="64"/>
      <c r="J4" s="2"/>
      <c r="K4" s="2"/>
      <c r="L4" s="2"/>
      <c r="M4" s="56"/>
      <c r="N4" s="2" t="s">
        <v>605</v>
      </c>
      <c r="O4" s="2" t="s">
        <v>606</v>
      </c>
      <c r="P4" s="9"/>
    </row>
    <row r="5" spans="1:16">
      <c r="A5" s="2" t="s">
        <v>380</v>
      </c>
      <c r="B5" s="1">
        <v>0.10670000000000003</v>
      </c>
      <c r="D5" s="9" t="s">
        <v>380</v>
      </c>
      <c r="E5" s="25">
        <v>0.1091</v>
      </c>
      <c r="H5" s="2" t="s">
        <v>380</v>
      </c>
      <c r="I5" s="4">
        <v>0.10670000000000003</v>
      </c>
      <c r="J5" s="2">
        <f>I5^2</f>
        <v>1.1384890000000007E-2</v>
      </c>
      <c r="K5" s="2"/>
      <c r="L5" s="2" t="s">
        <v>598</v>
      </c>
      <c r="M5" s="56">
        <f>J5</f>
        <v>1.1384890000000007E-2</v>
      </c>
      <c r="N5" s="2"/>
      <c r="O5" s="2"/>
      <c r="P5" s="9"/>
    </row>
    <row r="6" spans="1:16">
      <c r="A6" t="s">
        <v>381</v>
      </c>
      <c r="B6" s="1">
        <v>1.6930000000000008E-2</v>
      </c>
      <c r="C6" s="53" t="s">
        <v>590</v>
      </c>
      <c r="D6" s="9" t="s">
        <v>381</v>
      </c>
      <c r="E6" s="25">
        <v>7.4980000000000005E-2</v>
      </c>
      <c r="H6" s="2" t="s">
        <v>381</v>
      </c>
      <c r="I6" s="4">
        <v>1.6930000000000008E-2</v>
      </c>
      <c r="J6" s="2">
        <f>I6*$J$5</f>
        <v>1.927461877000002E-4</v>
      </c>
      <c r="K6" s="2"/>
      <c r="L6" s="2" t="s">
        <v>601</v>
      </c>
      <c r="M6" s="56">
        <f>J6+J8+J9+J12+J13+J18</f>
        <v>1.4694591371900018E-3</v>
      </c>
      <c r="N6" s="16">
        <f>M6/$M$5</f>
        <v>0.12907100000000007</v>
      </c>
      <c r="O6" s="57">
        <f>M6^0.5</f>
        <v>3.8333524977361547E-2</v>
      </c>
      <c r="P6" s="9"/>
    </row>
    <row r="7" spans="1:16">
      <c r="A7" t="s">
        <v>382</v>
      </c>
      <c r="B7" s="1">
        <v>0.48510000000000014</v>
      </c>
      <c r="C7" s="9" t="s">
        <v>591</v>
      </c>
      <c r="D7" s="9" t="s">
        <v>382</v>
      </c>
      <c r="E7" s="25">
        <v>0.7823</v>
      </c>
      <c r="H7" s="2" t="s">
        <v>382</v>
      </c>
      <c r="I7" s="4">
        <v>0.48510000000000014</v>
      </c>
      <c r="J7" s="2">
        <f t="shared" ref="J7:J20" si="0">I7*$J$5</f>
        <v>5.5228101390000046E-3</v>
      </c>
      <c r="K7" s="2"/>
      <c r="L7" s="2" t="s">
        <v>599</v>
      </c>
      <c r="M7" s="56">
        <f>J7</f>
        <v>5.5228101390000046E-3</v>
      </c>
      <c r="N7" s="16">
        <f t="shared" ref="N7:N17" si="1">M7/$M$5</f>
        <v>0.48510000000000009</v>
      </c>
      <c r="O7" s="2"/>
      <c r="P7" s="9"/>
    </row>
    <row r="8" spans="1:16">
      <c r="A8" t="s">
        <v>383</v>
      </c>
      <c r="B8" s="1">
        <v>6.6500000000000031E-2</v>
      </c>
      <c r="C8" s="9" t="s">
        <v>592</v>
      </c>
      <c r="D8" s="9" t="s">
        <v>383</v>
      </c>
      <c r="E8" s="25">
        <v>2.1399999999999999E-2</v>
      </c>
      <c r="H8" s="2" t="s">
        <v>383</v>
      </c>
      <c r="I8" s="4">
        <v>6.6500000000000031E-2</v>
      </c>
      <c r="J8" s="2">
        <f t="shared" si="0"/>
        <v>7.5709518500000083E-4</v>
      </c>
      <c r="K8" s="2"/>
      <c r="L8" s="2"/>
      <c r="M8" s="56"/>
      <c r="N8" s="16"/>
      <c r="O8" s="2"/>
      <c r="P8" s="9"/>
    </row>
    <row r="9" spans="1:16">
      <c r="A9" t="s">
        <v>384</v>
      </c>
      <c r="B9" s="1">
        <v>3.8200000000000018E-4</v>
      </c>
      <c r="C9" s="9" t="s">
        <v>593</v>
      </c>
      <c r="D9" s="9" t="s">
        <v>384</v>
      </c>
      <c r="E9" s="25">
        <v>1.428E-3</v>
      </c>
      <c r="H9" s="2" t="s">
        <v>384</v>
      </c>
      <c r="I9" s="4">
        <v>3.8200000000000018E-4</v>
      </c>
      <c r="J9" s="2">
        <f t="shared" si="0"/>
        <v>4.3490279800000047E-6</v>
      </c>
      <c r="K9" s="2"/>
      <c r="L9" s="2"/>
      <c r="M9" s="56"/>
      <c r="N9" s="16"/>
      <c r="O9" s="2"/>
      <c r="P9" s="9"/>
    </row>
    <row r="10" spans="1:16">
      <c r="A10" t="s">
        <v>385</v>
      </c>
      <c r="B10" s="1">
        <v>2.9960000000000013E-3</v>
      </c>
      <c r="C10" s="9" t="s">
        <v>594</v>
      </c>
      <c r="D10" s="9" t="s">
        <v>385</v>
      </c>
      <c r="E10" s="25">
        <v>2.003E-3</v>
      </c>
      <c r="H10" s="2" t="s">
        <v>385</v>
      </c>
      <c r="I10" s="4">
        <v>2.9960000000000013E-3</v>
      </c>
      <c r="J10" s="2">
        <f t="shared" si="0"/>
        <v>3.4109130440000037E-5</v>
      </c>
      <c r="K10" s="2"/>
      <c r="L10" s="2" t="s">
        <v>600</v>
      </c>
      <c r="M10" s="56">
        <f>J10</f>
        <v>3.4109130440000037E-5</v>
      </c>
      <c r="N10" s="16">
        <f t="shared" si="1"/>
        <v>2.9960000000000013E-3</v>
      </c>
      <c r="O10" s="2"/>
      <c r="P10" s="9"/>
    </row>
    <row r="11" spans="1:16">
      <c r="A11" t="s">
        <v>386</v>
      </c>
      <c r="B11" s="1">
        <v>0.14220000000000005</v>
      </c>
      <c r="D11" s="9" t="s">
        <v>386</v>
      </c>
      <c r="E11" s="25">
        <v>-0.10929999999999999</v>
      </c>
      <c r="H11" s="2" t="s">
        <v>386</v>
      </c>
      <c r="I11" s="4">
        <v>0.14220000000000005</v>
      </c>
      <c r="J11" s="2">
        <f t="shared" si="0"/>
        <v>1.6189313580000015E-3</v>
      </c>
      <c r="K11" s="2"/>
      <c r="L11" s="2"/>
      <c r="M11" s="56"/>
      <c r="N11" s="16"/>
      <c r="O11" s="2"/>
      <c r="P11" s="9"/>
    </row>
    <row r="12" spans="1:16">
      <c r="A12" t="s">
        <v>387</v>
      </c>
      <c r="B12" s="1">
        <v>5.2840000000000019E-2</v>
      </c>
      <c r="D12" s="9" t="s">
        <v>387</v>
      </c>
      <c r="E12" s="25">
        <v>-3.6830000000000001E-3</v>
      </c>
      <c r="H12" s="2" t="s">
        <v>387</v>
      </c>
      <c r="I12" s="4">
        <v>5.2840000000000019E-2</v>
      </c>
      <c r="J12" s="2">
        <f t="shared" si="0"/>
        <v>6.0157758760000062E-4</v>
      </c>
      <c r="K12" s="2"/>
      <c r="L12" s="2"/>
      <c r="M12" s="56"/>
      <c r="N12" s="16"/>
      <c r="O12" s="2"/>
      <c r="P12" s="9"/>
    </row>
    <row r="13" spans="1:16">
      <c r="A13" t="s">
        <v>388</v>
      </c>
      <c r="B13" s="1">
        <v>-2.844000000000001E-3</v>
      </c>
      <c r="D13" s="9" t="s">
        <v>388</v>
      </c>
      <c r="E13" s="25">
        <v>-9.8180000000000003E-3</v>
      </c>
      <c r="H13" s="2" t="s">
        <v>388</v>
      </c>
      <c r="I13" s="4">
        <v>-2.844000000000001E-3</v>
      </c>
      <c r="J13" s="2">
        <f t="shared" si="0"/>
        <v>-3.2378627160000034E-5</v>
      </c>
      <c r="K13" s="2"/>
      <c r="L13" s="2" t="s">
        <v>603</v>
      </c>
      <c r="M13" s="56">
        <f>J11+J15+J16</f>
        <v>4.7329378556900045E-3</v>
      </c>
      <c r="N13" s="16">
        <f t="shared" si="1"/>
        <v>0.41572100000000017</v>
      </c>
      <c r="O13" s="2"/>
      <c r="P13" s="9"/>
    </row>
    <row r="14" spans="1:16">
      <c r="A14" t="s">
        <v>389</v>
      </c>
      <c r="B14" s="1">
        <v>-3.9490000000000011E-3</v>
      </c>
      <c r="D14" s="9" t="s">
        <v>389</v>
      </c>
      <c r="E14" s="25">
        <v>1.0240000000000001E-2</v>
      </c>
      <c r="H14" s="2" t="s">
        <v>389</v>
      </c>
      <c r="I14" s="4">
        <v>-3.9490000000000011E-3</v>
      </c>
      <c r="J14" s="2">
        <f t="shared" si="0"/>
        <v>-4.4958930610000043E-5</v>
      </c>
      <c r="K14" s="2"/>
      <c r="L14" s="2"/>
      <c r="M14" s="56"/>
      <c r="N14" s="16"/>
      <c r="O14" s="2"/>
      <c r="P14" s="9"/>
    </row>
    <row r="15" spans="1:16">
      <c r="A15" t="s">
        <v>390</v>
      </c>
      <c r="B15" s="1">
        <v>0.28200000000000008</v>
      </c>
      <c r="D15" s="9" t="s">
        <v>390</v>
      </c>
      <c r="E15" s="25">
        <v>0.1953</v>
      </c>
      <c r="H15" s="2" t="s">
        <v>390</v>
      </c>
      <c r="I15" s="4">
        <v>0.28200000000000008</v>
      </c>
      <c r="J15" s="2">
        <f t="shared" si="0"/>
        <v>3.2105389800000028E-3</v>
      </c>
      <c r="K15" s="2"/>
      <c r="L15" s="2" t="s">
        <v>604</v>
      </c>
      <c r="M15" s="56">
        <f>J14+J19+J20</f>
        <v>-1.5573391031000014E-4</v>
      </c>
      <c r="N15" s="16">
        <f t="shared" si="1"/>
        <v>-1.3679000000000004E-2</v>
      </c>
      <c r="O15" s="2"/>
      <c r="P15" s="9"/>
    </row>
    <row r="16" spans="1:16">
      <c r="A16" t="s">
        <v>391</v>
      </c>
      <c r="B16" s="1">
        <v>-8.4790000000000039E-3</v>
      </c>
      <c r="D16" s="9" t="s">
        <v>391</v>
      </c>
      <c r="E16" s="25">
        <v>3.85E-2</v>
      </c>
      <c r="H16" s="2" t="s">
        <v>391</v>
      </c>
      <c r="I16" s="4">
        <v>-8.4790000000000039E-3</v>
      </c>
      <c r="J16" s="2">
        <f t="shared" si="0"/>
        <v>-9.6532482310000102E-5</v>
      </c>
      <c r="K16" s="2"/>
      <c r="L16" s="2"/>
      <c r="M16" s="56"/>
      <c r="N16" s="16"/>
      <c r="O16" s="2"/>
      <c r="P16" s="9"/>
    </row>
    <row r="17" spans="1:16">
      <c r="A17" t="s">
        <v>392</v>
      </c>
      <c r="B17" s="1">
        <v>-1.9160000000000007E-2</v>
      </c>
      <c r="D17" s="9" t="s">
        <v>392</v>
      </c>
      <c r="E17" s="25">
        <v>-1.0059999999999999E-2</v>
      </c>
      <c r="H17" s="2" t="s">
        <v>392</v>
      </c>
      <c r="I17" s="4">
        <v>-1.9160000000000007E-2</v>
      </c>
      <c r="J17" s="2">
        <f t="shared" si="0"/>
        <v>-2.181344924000002E-4</v>
      </c>
      <c r="K17" s="2"/>
      <c r="L17" s="2" t="s">
        <v>602</v>
      </c>
      <c r="M17" s="56">
        <f>J17</f>
        <v>-2.181344924000002E-4</v>
      </c>
      <c r="N17" s="16">
        <f t="shared" si="1"/>
        <v>-1.9160000000000007E-2</v>
      </c>
      <c r="O17" s="2"/>
      <c r="P17" s="9"/>
    </row>
    <row r="18" spans="1:16">
      <c r="A18" t="s">
        <v>393</v>
      </c>
      <c r="B18" s="1">
        <v>-4.7370000000000016E-3</v>
      </c>
      <c r="D18" s="9" t="s">
        <v>393</v>
      </c>
      <c r="E18" s="25">
        <v>5.1500000000000001E-3</v>
      </c>
      <c r="H18" s="2" t="s">
        <v>393</v>
      </c>
      <c r="I18" s="4">
        <v>-4.7370000000000016E-3</v>
      </c>
      <c r="J18" s="2">
        <f t="shared" si="0"/>
        <v>-5.3930223930000052E-5</v>
      </c>
      <c r="K18" s="2"/>
      <c r="L18" s="2"/>
      <c r="M18" s="56"/>
      <c r="N18" s="16"/>
      <c r="O18" s="2"/>
      <c r="P18" s="9"/>
    </row>
    <row r="19" spans="1:16">
      <c r="A19" t="s">
        <v>394</v>
      </c>
      <c r="B19" s="1">
        <v>-9.8090000000000035E-3</v>
      </c>
      <c r="D19" s="9" t="s">
        <v>394</v>
      </c>
      <c r="E19" s="25">
        <v>1.5809999999999999E-3</v>
      </c>
      <c r="H19" s="2" t="s">
        <v>394</v>
      </c>
      <c r="I19" s="4">
        <v>-9.8090000000000035E-3</v>
      </c>
      <c r="J19" s="2">
        <f t="shared" si="0"/>
        <v>-1.116743860100001E-4</v>
      </c>
      <c r="K19" s="2"/>
      <c r="L19" s="2"/>
      <c r="M19" s="56">
        <f>SUM(M6:M17)-M5</f>
        <v>5.5785961000295869E-7</v>
      </c>
      <c r="N19" s="16"/>
      <c r="O19" s="2"/>
      <c r="P19" s="9"/>
    </row>
    <row r="20" spans="1:16">
      <c r="A20" t="s">
        <v>395</v>
      </c>
      <c r="B20" s="1">
        <v>7.9000000000000036E-5</v>
      </c>
      <c r="D20" s="9" t="s">
        <v>395</v>
      </c>
      <c r="E20" s="25">
        <v>-5.0000000000000004E-6</v>
      </c>
      <c r="H20" s="2" t="s">
        <v>395</v>
      </c>
      <c r="I20" s="4">
        <v>7.9000000000000036E-5</v>
      </c>
      <c r="J20" s="2">
        <f t="shared" si="0"/>
        <v>8.9940631000000099E-7</v>
      </c>
      <c r="K20" s="2"/>
      <c r="L20" s="2"/>
      <c r="M20" s="56"/>
      <c r="N20" s="16"/>
      <c r="O20" s="2"/>
      <c r="P20" s="9"/>
    </row>
    <row r="21" spans="1:16">
      <c r="A21" t="s">
        <v>396</v>
      </c>
      <c r="B21" s="13">
        <v>372800000</v>
      </c>
      <c r="D21" s="2"/>
      <c r="E21" s="4"/>
      <c r="H21" s="9"/>
      <c r="I21" s="9"/>
      <c r="J21" s="9"/>
      <c r="K21" s="9"/>
      <c r="L21" s="9"/>
      <c r="M21" s="55"/>
      <c r="N21" s="9"/>
      <c r="O21" s="9"/>
      <c r="P21" s="9"/>
    </row>
    <row r="22" spans="1:16">
      <c r="H22" s="9"/>
      <c r="I22" s="9"/>
      <c r="J22" s="9"/>
      <c r="K22" s="9"/>
      <c r="L22" s="9"/>
      <c r="M22" s="55"/>
      <c r="N22" s="9"/>
      <c r="O22" s="9"/>
      <c r="P22" s="9"/>
    </row>
    <row r="23" spans="1:16">
      <c r="H23" s="9"/>
      <c r="I23" s="9"/>
      <c r="J23" s="9"/>
      <c r="K23" s="9"/>
      <c r="L23" s="9"/>
      <c r="M23" s="55"/>
      <c r="N23" s="9"/>
      <c r="O23" s="9"/>
      <c r="P23" s="9"/>
    </row>
    <row r="24" spans="1:16">
      <c r="H24" s="9"/>
      <c r="I24" s="9"/>
      <c r="J24" s="9"/>
      <c r="K24" s="9"/>
      <c r="L24" s="9"/>
      <c r="M24" s="55"/>
      <c r="N24" s="9"/>
      <c r="O24" s="9"/>
      <c r="P24" s="9"/>
    </row>
  </sheetData>
  <mergeCells count="2">
    <mergeCell ref="D4:E4"/>
    <mergeCell ref="H4:I4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zoomScale="70" zoomScaleNormal="70" workbookViewId="0"/>
  </sheetViews>
  <sheetFormatPr baseColWidth="10" defaultColWidth="8.83203125" defaultRowHeight="15"/>
  <cols>
    <col min="1" max="1" width="29.6640625" customWidth="1"/>
  </cols>
  <sheetData>
    <row r="1" spans="1:7">
      <c r="A1" t="str">
        <f>"Regressions y  pe  fe sdpe pedec1 pedec10 on earnings &amp; size &amp; education (CZ)"</f>
        <v>Regressions y  pe  fe sdpe pedec1 pedec10 on earnings &amp; size &amp; education (CZ)</v>
      </c>
      <c r="B1" s="1"/>
      <c r="C1" s="1"/>
      <c r="D1" s="1"/>
      <c r="E1" s="1"/>
      <c r="F1" s="1"/>
      <c r="G1" s="11"/>
    </row>
    <row r="2" spans="1:7">
      <c r="A2" s="9"/>
      <c r="B2" s="30"/>
      <c r="C2" s="1"/>
      <c r="D2" s="31"/>
      <c r="E2" s="1"/>
      <c r="F2" s="1"/>
      <c r="G2" s="1"/>
    </row>
    <row r="3" spans="1:7">
      <c r="B3" s="1"/>
      <c r="C3" s="1"/>
      <c r="D3" s="1"/>
      <c r="E3" s="1"/>
      <c r="F3" s="1"/>
      <c r="G3" s="1"/>
    </row>
    <row r="4" spans="1:7">
      <c r="A4" t="str">
        <f>""</f>
        <v/>
      </c>
      <c r="B4" s="65" t="s">
        <v>397</v>
      </c>
      <c r="C4" s="59"/>
      <c r="D4" s="66"/>
      <c r="E4" s="59" t="s">
        <v>398</v>
      </c>
      <c r="F4" s="59"/>
      <c r="G4" s="59"/>
    </row>
    <row r="5" spans="1:7">
      <c r="A5" t="str">
        <f>""</f>
        <v/>
      </c>
      <c r="B5" s="30" t="s">
        <v>53</v>
      </c>
      <c r="C5" s="4" t="s">
        <v>54</v>
      </c>
      <c r="D5" s="5" t="s">
        <v>55</v>
      </c>
      <c r="E5" s="1" t="s">
        <v>53</v>
      </c>
      <c r="F5" s="4" t="s">
        <v>54</v>
      </c>
      <c r="G5" s="4" t="s">
        <v>55</v>
      </c>
    </row>
    <row r="6" spans="1:7">
      <c r="B6" s="30"/>
      <c r="C6" s="1"/>
      <c r="D6" s="31"/>
      <c r="E6" s="1"/>
      <c r="F6" s="1"/>
      <c r="G6" s="1"/>
    </row>
    <row r="7" spans="1:7">
      <c r="A7" t="str">
        <f>"logsize_c"</f>
        <v>logsize_c</v>
      </c>
      <c r="B7" s="30" t="s">
        <v>400</v>
      </c>
      <c r="C7" s="1" t="s">
        <v>401</v>
      </c>
      <c r="D7" s="31" t="s">
        <v>402</v>
      </c>
      <c r="E7" s="1" t="s">
        <v>403</v>
      </c>
      <c r="F7" s="1" t="s">
        <v>404</v>
      </c>
      <c r="G7" s="1" t="s">
        <v>405</v>
      </c>
    </row>
    <row r="8" spans="1:7">
      <c r="A8" t="str">
        <f>""</f>
        <v/>
      </c>
      <c r="B8" s="30" t="s">
        <v>399</v>
      </c>
      <c r="C8" s="1" t="s">
        <v>406</v>
      </c>
      <c r="D8" s="31" t="s">
        <v>407</v>
      </c>
      <c r="E8" s="1" t="s">
        <v>408</v>
      </c>
      <c r="F8" s="1" t="s">
        <v>409</v>
      </c>
      <c r="G8" s="1" t="s">
        <v>410</v>
      </c>
    </row>
    <row r="9" spans="1:7">
      <c r="B9" s="30"/>
      <c r="C9" s="1"/>
      <c r="D9" s="31"/>
      <c r="E9" s="1"/>
      <c r="F9" s="1"/>
      <c r="G9" s="1"/>
    </row>
    <row r="10" spans="1:7">
      <c r="B10" s="30"/>
      <c r="C10" s="1"/>
      <c r="D10" s="31"/>
      <c r="E10" s="1"/>
      <c r="F10" s="1"/>
      <c r="G10" s="1"/>
    </row>
    <row r="11" spans="1:7">
      <c r="A11" t="s">
        <v>60</v>
      </c>
      <c r="B11" s="67">
        <f>110400000</f>
        <v>110400000</v>
      </c>
      <c r="C11" s="68"/>
      <c r="D11" s="69"/>
      <c r="E11" s="68">
        <f>262400000</f>
        <v>262400000</v>
      </c>
      <c r="F11" s="68"/>
      <c r="G11" s="68"/>
    </row>
  </sheetData>
  <mergeCells count="4">
    <mergeCell ref="B4:D4"/>
    <mergeCell ref="E4:G4"/>
    <mergeCell ref="B11:D11"/>
    <mergeCell ref="E11:G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7"/>
  <sheetViews>
    <sheetView zoomScale="70" zoomScaleNormal="70" workbookViewId="0"/>
  </sheetViews>
  <sheetFormatPr baseColWidth="10" defaultColWidth="8.83203125" defaultRowHeight="15"/>
  <cols>
    <col min="1" max="1" width="32.6640625" customWidth="1"/>
    <col min="2" max="5" width="33" style="1" customWidth="1"/>
  </cols>
  <sheetData>
    <row r="1" spans="1:5">
      <c r="A1" s="2" t="s">
        <v>411</v>
      </c>
    </row>
    <row r="2" spans="1:5">
      <c r="A2" s="9"/>
    </row>
    <row r="3" spans="1:5">
      <c r="A3" s="2" t="s">
        <v>412</v>
      </c>
      <c r="B3" s="70" t="s">
        <v>413</v>
      </c>
      <c r="C3" s="64"/>
      <c r="D3" s="64" t="s">
        <v>414</v>
      </c>
      <c r="E3" s="64"/>
    </row>
    <row r="4" spans="1:5">
      <c r="A4" s="32"/>
      <c r="B4" s="33" t="s">
        <v>415</v>
      </c>
      <c r="C4" s="33" t="s">
        <v>416</v>
      </c>
      <c r="D4" s="34" t="s">
        <v>415</v>
      </c>
      <c r="E4" s="33" t="s">
        <v>416</v>
      </c>
    </row>
    <row r="5" spans="1:5">
      <c r="A5" s="35"/>
      <c r="B5" s="29" t="s">
        <v>14</v>
      </c>
      <c r="C5" s="36" t="s">
        <v>14</v>
      </c>
      <c r="D5" s="29" t="s">
        <v>14</v>
      </c>
      <c r="E5" s="29" t="s">
        <v>14</v>
      </c>
    </row>
    <row r="6" spans="1:5">
      <c r="A6" s="37" t="s">
        <v>15</v>
      </c>
      <c r="B6" s="1">
        <v>0.51370000000000016</v>
      </c>
      <c r="C6" s="31">
        <v>9.7300000000000039E-2</v>
      </c>
      <c r="D6" s="1">
        <v>0.67840000000000023</v>
      </c>
      <c r="E6" s="1">
        <v>0.17830000000000007</v>
      </c>
    </row>
    <row r="7" spans="1:5">
      <c r="A7" s="37" t="s">
        <v>27</v>
      </c>
      <c r="B7" s="1">
        <v>0.63470000000000015</v>
      </c>
      <c r="C7" s="31">
        <v>0.32310000000000011</v>
      </c>
      <c r="D7" s="1">
        <v>0.67800000000000027</v>
      </c>
      <c r="E7" s="1">
        <v>0.32190000000000007</v>
      </c>
    </row>
    <row r="8" spans="1:5">
      <c r="A8" s="37" t="s">
        <v>28</v>
      </c>
      <c r="B8" s="1">
        <v>0.16970000000000005</v>
      </c>
      <c r="C8" s="31">
        <v>0.36840000000000012</v>
      </c>
      <c r="D8" s="1">
        <v>0.10780000000000003</v>
      </c>
      <c r="E8" s="1">
        <v>0.24080000000000007</v>
      </c>
    </row>
    <row r="9" spans="1:5">
      <c r="A9" s="37" t="s">
        <v>29</v>
      </c>
      <c r="B9" s="1">
        <v>6.1200000000000025E-2</v>
      </c>
      <c r="C9" s="31">
        <v>5.6280000000000019E-3</v>
      </c>
      <c r="D9" s="1">
        <v>3.6690000000000014E-2</v>
      </c>
      <c r="E9" s="1">
        <v>8.6700000000000037E-4</v>
      </c>
    </row>
    <row r="10" spans="1:5">
      <c r="A10" s="37" t="s">
        <v>30</v>
      </c>
      <c r="B10" s="1">
        <v>0.13990000000000005</v>
      </c>
      <c r="C10" s="31">
        <v>3.1000000000000015E-5</v>
      </c>
      <c r="D10" s="1">
        <v>0.12970000000000004</v>
      </c>
      <c r="E10" s="1">
        <v>6.0000000000000027E-6</v>
      </c>
    </row>
    <row r="11" spans="1:5">
      <c r="A11" s="37" t="s">
        <v>31</v>
      </c>
      <c r="B11" s="1">
        <v>7.334000000000003E-2</v>
      </c>
      <c r="C11" s="31">
        <v>0.29860000000000009</v>
      </c>
      <c r="D11" s="1">
        <v>9.0050000000000033E-2</v>
      </c>
      <c r="E11" s="1">
        <v>0.41930000000000012</v>
      </c>
    </row>
    <row r="12" spans="1:5">
      <c r="A12" s="37" t="s">
        <v>32</v>
      </c>
      <c r="B12" s="1">
        <v>-6.9620000000000029E-2</v>
      </c>
      <c r="C12" s="31">
        <v>-2.1070000000000009E-2</v>
      </c>
      <c r="D12" s="1">
        <v>-4.3890000000000019E-2</v>
      </c>
      <c r="E12" s="1">
        <v>1.0610000000000005E-2</v>
      </c>
    </row>
    <row r="13" spans="1:5">
      <c r="A13" s="37" t="s">
        <v>33</v>
      </c>
      <c r="B13" s="1">
        <v>7.0000000000000033E-6</v>
      </c>
      <c r="C13" s="31">
        <v>2.7510000000000008E-3</v>
      </c>
      <c r="D13" s="1">
        <v>7.0000000000000033E-6</v>
      </c>
      <c r="E13" s="1">
        <v>-3.7000000000000016E-4</v>
      </c>
    </row>
    <row r="14" spans="1:5">
      <c r="A14" s="37" t="s">
        <v>34</v>
      </c>
      <c r="B14" s="1">
        <v>-3.5460000000000014E-3</v>
      </c>
      <c r="C14" s="31">
        <v>2.0580000000000008E-2</v>
      </c>
      <c r="D14" s="1">
        <v>1.9420000000000008E-3</v>
      </c>
      <c r="E14" s="1">
        <v>7.3820000000000031E-3</v>
      </c>
    </row>
    <row r="15" spans="1:5">
      <c r="A15" s="37" t="s">
        <v>35</v>
      </c>
      <c r="B15" s="1">
        <v>2.2000000000000013E-5</v>
      </c>
      <c r="C15" s="31">
        <v>2.0810000000000008E-3</v>
      </c>
      <c r="D15" s="1">
        <v>3.7000000000000016E-4</v>
      </c>
      <c r="E15" s="1">
        <v>-4.5300000000000022E-4</v>
      </c>
    </row>
    <row r="16" spans="1:5">
      <c r="A16" s="37" t="s">
        <v>36</v>
      </c>
      <c r="B16" s="1">
        <v>-5.6800000000000019E-3</v>
      </c>
      <c r="C16" s="31">
        <v>-1.8300000000000008E-4</v>
      </c>
      <c r="D16" s="1">
        <v>-5.9300000000000032E-4</v>
      </c>
      <c r="E16" s="1">
        <v>-1.3000000000000006E-5</v>
      </c>
    </row>
    <row r="17" spans="1:5">
      <c r="A17" s="37" t="s">
        <v>396</v>
      </c>
      <c r="B17" s="26">
        <v>110400000</v>
      </c>
      <c r="C17" s="38">
        <v>110400000</v>
      </c>
      <c r="D17" s="26">
        <v>262400000</v>
      </c>
      <c r="E17" s="26">
        <v>262400000</v>
      </c>
    </row>
  </sheetData>
  <mergeCells count="2">
    <mergeCell ref="B3:C3"/>
    <mergeCell ref="D3:E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7"/>
  <sheetViews>
    <sheetView workbookViewId="0">
      <selection activeCell="C1" sqref="C1"/>
    </sheetView>
  </sheetViews>
  <sheetFormatPr baseColWidth="10" defaultColWidth="8.83203125" defaultRowHeight="15"/>
  <cols>
    <col min="1" max="1" width="41" customWidth="1"/>
    <col min="2" max="3" width="16.33203125" customWidth="1"/>
  </cols>
  <sheetData>
    <row r="1" spans="1:3">
      <c r="A1" s="2" t="s">
        <v>417</v>
      </c>
      <c r="B1" s="1"/>
      <c r="C1" s="1"/>
    </row>
    <row r="2" spans="1:3">
      <c r="B2" s="1"/>
      <c r="C2" s="1"/>
    </row>
    <row r="3" spans="1:3">
      <c r="B3" s="59" t="s">
        <v>418</v>
      </c>
      <c r="C3" s="59"/>
    </row>
    <row r="4" spans="1:3">
      <c r="B4" s="1" t="s">
        <v>3</v>
      </c>
      <c r="C4" s="1" t="s">
        <v>2</v>
      </c>
    </row>
    <row r="5" spans="1:3">
      <c r="B5" s="1"/>
      <c r="C5" s="1"/>
    </row>
    <row r="6" spans="1:3">
      <c r="B6" s="29" t="s">
        <v>14</v>
      </c>
      <c r="C6" s="29" t="s">
        <v>14</v>
      </c>
    </row>
    <row r="7" spans="1:3">
      <c r="A7" t="s">
        <v>15</v>
      </c>
      <c r="B7" s="4">
        <v>0.67130000000000023</v>
      </c>
      <c r="C7" s="4">
        <v>0.17090000000000005</v>
      </c>
    </row>
    <row r="8" spans="1:3">
      <c r="A8" t="s">
        <v>27</v>
      </c>
      <c r="B8" s="6">
        <v>0.58070000000000022</v>
      </c>
      <c r="C8" s="6">
        <v>0.32590000000000008</v>
      </c>
    </row>
    <row r="9" spans="1:3">
      <c r="A9" t="s">
        <v>28</v>
      </c>
      <c r="B9" s="6">
        <v>0.11620000000000004</v>
      </c>
      <c r="C9" s="6">
        <v>0.26860000000000006</v>
      </c>
    </row>
    <row r="10" spans="1:3">
      <c r="A10" t="s">
        <v>29</v>
      </c>
      <c r="B10" s="6">
        <v>4.0490000000000019E-2</v>
      </c>
      <c r="C10" s="6">
        <v>1.8660000000000007E-3</v>
      </c>
    </row>
    <row r="11" spans="1:3">
      <c r="A11" t="s">
        <v>30</v>
      </c>
      <c r="B11" s="6">
        <v>0.14240000000000005</v>
      </c>
      <c r="C11" s="6"/>
    </row>
    <row r="12" spans="1:3">
      <c r="A12" t="s">
        <v>31</v>
      </c>
      <c r="B12" s="6">
        <v>0.13020000000000004</v>
      </c>
      <c r="C12" s="6">
        <v>0.39650000000000013</v>
      </c>
    </row>
    <row r="13" spans="1:3">
      <c r="A13" t="s">
        <v>32</v>
      </c>
      <c r="B13" s="6">
        <v>-1.6890000000000006E-2</v>
      </c>
      <c r="C13" s="6">
        <v>4.9420000000000019E-3</v>
      </c>
    </row>
    <row r="14" spans="1:3">
      <c r="A14" t="s">
        <v>33</v>
      </c>
      <c r="B14" s="6"/>
      <c r="C14" s="6"/>
    </row>
    <row r="15" spans="1:3">
      <c r="A15" t="s">
        <v>34</v>
      </c>
      <c r="B15" s="6">
        <v>4.4580000000000019E-3</v>
      </c>
      <c r="C15" s="6">
        <v>2.2150000000000008E-3</v>
      </c>
    </row>
    <row r="16" spans="1:3">
      <c r="A16" t="s">
        <v>35</v>
      </c>
      <c r="B16" s="6">
        <v>7.0600000000000036E-4</v>
      </c>
      <c r="C16" s="6"/>
    </row>
    <row r="17" spans="1:3">
      <c r="A17" t="s">
        <v>36</v>
      </c>
      <c r="B17" s="6">
        <v>1.7500000000000007E-3</v>
      </c>
      <c r="C17" s="6"/>
    </row>
    <row r="18" spans="1:3">
      <c r="A18" t="str">
        <f>"Number of Person-quarter observations"</f>
        <v>Number of Person-quarter observations</v>
      </c>
      <c r="B18" s="60">
        <v>687200000</v>
      </c>
      <c r="C18" s="60"/>
    </row>
    <row r="19" spans="1:3">
      <c r="B19" s="1"/>
      <c r="C19" s="1"/>
    </row>
    <row r="20" spans="1:3">
      <c r="B20" s="1"/>
      <c r="C20" s="1"/>
    </row>
    <row r="21" spans="1:3">
      <c r="B21" s="1"/>
      <c r="C21" s="1"/>
    </row>
    <row r="22" spans="1:3">
      <c r="B22" s="59" t="s">
        <v>419</v>
      </c>
      <c r="C22" s="59"/>
    </row>
    <row r="23" spans="1:3">
      <c r="B23" s="1" t="s">
        <v>3</v>
      </c>
      <c r="C23" s="1" t="s">
        <v>2</v>
      </c>
    </row>
    <row r="24" spans="1:3">
      <c r="B24" s="1"/>
      <c r="C24" s="1"/>
    </row>
    <row r="25" spans="1:3">
      <c r="B25" s="29" t="s">
        <v>14</v>
      </c>
      <c r="C25" s="29" t="s">
        <v>14</v>
      </c>
    </row>
    <row r="26" spans="1:3">
      <c r="A26" t="s">
        <v>15</v>
      </c>
      <c r="B26" s="4">
        <v>0.64550000000000018</v>
      </c>
      <c r="C26" s="4">
        <v>0.14000000000000004</v>
      </c>
    </row>
    <row r="27" spans="1:3">
      <c r="A27" t="s">
        <v>27</v>
      </c>
      <c r="B27" s="6">
        <v>0.6696000000000002</v>
      </c>
      <c r="C27" s="6">
        <v>0.29160000000000008</v>
      </c>
    </row>
    <row r="28" spans="1:3">
      <c r="A28" t="s">
        <v>28</v>
      </c>
      <c r="B28" s="6">
        <v>0.11650000000000003</v>
      </c>
      <c r="C28" s="6">
        <v>0.30440000000000011</v>
      </c>
    </row>
    <row r="29" spans="1:3">
      <c r="A29" t="s">
        <v>29</v>
      </c>
      <c r="B29" s="6">
        <v>4.3210000000000019E-2</v>
      </c>
      <c r="C29" s="6">
        <v>1.7930000000000008E-3</v>
      </c>
    </row>
    <row r="30" spans="1:3">
      <c r="A30" t="s">
        <v>30</v>
      </c>
      <c r="B30" s="6">
        <v>0.12000000000000004</v>
      </c>
      <c r="C30" s="6"/>
    </row>
    <row r="31" spans="1:3">
      <c r="A31" t="s">
        <v>31</v>
      </c>
      <c r="B31" s="6">
        <v>8.8610000000000036E-2</v>
      </c>
      <c r="C31" s="6">
        <v>0.36790000000000012</v>
      </c>
    </row>
    <row r="32" spans="1:3">
      <c r="A32" t="s">
        <v>32</v>
      </c>
      <c r="B32" s="6">
        <v>-3.8950000000000019E-2</v>
      </c>
      <c r="C32" s="6">
        <v>1.5400000000000006E-2</v>
      </c>
    </row>
    <row r="33" spans="1:3">
      <c r="A33" t="s">
        <v>33</v>
      </c>
      <c r="B33" s="6"/>
      <c r="C33" s="6"/>
    </row>
    <row r="34" spans="1:3">
      <c r="A34" t="s">
        <v>34</v>
      </c>
      <c r="B34" s="6">
        <v>1.7340000000000007E-3</v>
      </c>
      <c r="C34" s="6">
        <v>1.8990000000000007E-2</v>
      </c>
    </row>
    <row r="35" spans="1:3">
      <c r="A35" t="s">
        <v>35</v>
      </c>
      <c r="B35" s="6">
        <v>-2.8600000000000012E-4</v>
      </c>
      <c r="C35" s="6"/>
    </row>
    <row r="36" spans="1:3">
      <c r="A36" t="s">
        <v>36</v>
      </c>
      <c r="B36" s="6">
        <v>-4.4800000000000021E-4</v>
      </c>
      <c r="C36" s="6"/>
    </row>
    <row r="37" spans="1:3">
      <c r="A37" t="str">
        <f>"Number of Person-quarter observations"</f>
        <v>Number of Person-quarter observations</v>
      </c>
      <c r="B37" s="60">
        <v>1835000000</v>
      </c>
      <c r="C37" s="60"/>
    </row>
  </sheetData>
  <mergeCells count="4">
    <mergeCell ref="B3:C3"/>
    <mergeCell ref="B22:C22"/>
    <mergeCell ref="B18:C18"/>
    <mergeCell ref="B37:C3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7"/>
  <sheetViews>
    <sheetView workbookViewId="0"/>
  </sheetViews>
  <sheetFormatPr baseColWidth="10" defaultColWidth="8.83203125" defaultRowHeight="15"/>
  <cols>
    <col min="1" max="1" width="28" customWidth="1"/>
    <col min="2" max="3" width="15" customWidth="1"/>
  </cols>
  <sheetData>
    <row r="1" spans="1:3">
      <c r="A1" s="2" t="s">
        <v>420</v>
      </c>
      <c r="B1" s="1"/>
      <c r="C1" s="1"/>
    </row>
    <row r="2" spans="1:3">
      <c r="B2" s="1"/>
      <c r="C2" s="1"/>
    </row>
    <row r="3" spans="1:3">
      <c r="A3" s="2" t="s">
        <v>421</v>
      </c>
      <c r="B3" s="1"/>
      <c r="C3" s="1"/>
    </row>
    <row r="4" spans="1:3">
      <c r="B4" s="1" t="s">
        <v>3</v>
      </c>
      <c r="C4" s="1" t="s">
        <v>2</v>
      </c>
    </row>
    <row r="5" spans="1:3">
      <c r="B5" s="1"/>
      <c r="C5" s="1"/>
    </row>
    <row r="6" spans="1:3">
      <c r="B6" s="29" t="s">
        <v>14</v>
      </c>
      <c r="C6" s="29" t="s">
        <v>14</v>
      </c>
    </row>
    <row r="7" spans="1:3">
      <c r="A7" t="s">
        <v>15</v>
      </c>
      <c r="B7" s="4">
        <v>0.65330000000000021</v>
      </c>
      <c r="C7" s="4">
        <v>0.14470000000000005</v>
      </c>
    </row>
    <row r="8" spans="1:3">
      <c r="A8" t="s">
        <v>27</v>
      </c>
      <c r="B8" s="6">
        <v>0.64670000000000016</v>
      </c>
      <c r="C8" s="6">
        <v>0.31040000000000012</v>
      </c>
    </row>
    <row r="9" spans="1:3">
      <c r="A9" t="s">
        <v>28</v>
      </c>
      <c r="B9" s="6">
        <v>0.12080000000000003</v>
      </c>
      <c r="C9" s="6">
        <v>0.2829000000000001</v>
      </c>
    </row>
    <row r="10" spans="1:3">
      <c r="A10" t="s">
        <v>29</v>
      </c>
      <c r="B10" s="6">
        <v>4.2370000000000019E-2</v>
      </c>
      <c r="C10" s="6">
        <v>1.7450000000000007E-3</v>
      </c>
    </row>
    <row r="11" spans="1:3">
      <c r="A11" t="s">
        <v>30</v>
      </c>
      <c r="B11" s="6">
        <v>0.12980000000000005</v>
      </c>
      <c r="C11" s="6">
        <v>1.0000000000000006E-6</v>
      </c>
    </row>
    <row r="12" spans="1:3">
      <c r="A12" t="s">
        <v>31</v>
      </c>
      <c r="B12" s="6">
        <v>9.2380000000000045E-2</v>
      </c>
      <c r="C12" s="6">
        <v>0.38130000000000014</v>
      </c>
    </row>
    <row r="13" spans="1:3">
      <c r="A13" t="s">
        <v>32</v>
      </c>
      <c r="B13" s="6">
        <v>-3.4020000000000016E-2</v>
      </c>
      <c r="C13" s="6">
        <v>1.2050000000000005E-2</v>
      </c>
    </row>
    <row r="14" spans="1:3">
      <c r="A14" t="s">
        <v>33</v>
      </c>
      <c r="B14" s="6">
        <v>-1.4410000000000004E-3</v>
      </c>
      <c r="C14" s="6">
        <v>5.0400000000000022E-4</v>
      </c>
    </row>
    <row r="15" spans="1:3">
      <c r="A15" t="s">
        <v>34</v>
      </c>
      <c r="B15" s="6">
        <v>2.8280000000000011E-3</v>
      </c>
      <c r="C15" s="6">
        <v>1.0620000000000004E-2</v>
      </c>
    </row>
    <row r="16" spans="1:3">
      <c r="A16" t="s">
        <v>35</v>
      </c>
      <c r="B16" s="6">
        <v>8.8000000000000052E-5</v>
      </c>
      <c r="C16" s="6">
        <v>4.7300000000000022E-4</v>
      </c>
    </row>
    <row r="17" spans="1:3">
      <c r="A17" t="s">
        <v>36</v>
      </c>
      <c r="B17" s="6">
        <v>4.500000000000002E-4</v>
      </c>
      <c r="C17" s="6">
        <v>2.1000000000000012E-5</v>
      </c>
    </row>
    <row r="18" spans="1:3">
      <c r="A18" t="str">
        <f>"Number of Person-quarter observations"</f>
        <v>Number of Person-quarter observations</v>
      </c>
      <c r="B18" s="60">
        <v>1901000000</v>
      </c>
      <c r="C18" s="60"/>
    </row>
    <row r="19" spans="1:3">
      <c r="B19" s="1"/>
      <c r="C19" s="1"/>
    </row>
    <row r="20" spans="1:3">
      <c r="B20" s="1"/>
      <c r="C20" s="1"/>
    </row>
    <row r="21" spans="1:3">
      <c r="B21" s="1"/>
      <c r="C21" s="1"/>
    </row>
    <row r="22" spans="1:3">
      <c r="A22" s="2" t="s">
        <v>422</v>
      </c>
      <c r="B22" s="1"/>
      <c r="C22" s="1"/>
    </row>
    <row r="23" spans="1:3">
      <c r="B23" s="1" t="s">
        <v>3</v>
      </c>
      <c r="C23" s="1" t="s">
        <v>2</v>
      </c>
    </row>
    <row r="24" spans="1:3">
      <c r="B24" s="1"/>
      <c r="C24" s="1"/>
    </row>
    <row r="25" spans="1:3">
      <c r="B25" s="29" t="s">
        <v>14</v>
      </c>
      <c r="C25" s="29" t="s">
        <v>14</v>
      </c>
    </row>
    <row r="26" spans="1:3">
      <c r="A26" t="s">
        <v>15</v>
      </c>
      <c r="B26" s="4">
        <v>0.65060000000000018</v>
      </c>
      <c r="C26" s="4">
        <v>0.16380000000000006</v>
      </c>
    </row>
    <row r="27" spans="1:3">
      <c r="A27" t="s">
        <v>27</v>
      </c>
      <c r="B27" s="6">
        <v>0.63520000000000021</v>
      </c>
      <c r="C27" s="6">
        <v>0.28190000000000009</v>
      </c>
    </row>
    <row r="28" spans="1:3">
      <c r="A28" t="s">
        <v>28</v>
      </c>
      <c r="B28" s="6">
        <v>0.10270000000000003</v>
      </c>
      <c r="C28" s="6">
        <v>0.32030000000000008</v>
      </c>
    </row>
    <row r="29" spans="1:3">
      <c r="A29" t="s">
        <v>29</v>
      </c>
      <c r="B29" s="6">
        <v>4.3270000000000017E-2</v>
      </c>
      <c r="C29" s="6">
        <v>1.2020000000000004E-3</v>
      </c>
    </row>
    <row r="30" spans="1:3">
      <c r="A30" t="s">
        <v>30</v>
      </c>
      <c r="B30" s="6">
        <v>0.11630000000000004</v>
      </c>
      <c r="C30" s="6">
        <v>1.1000000000000006E-5</v>
      </c>
    </row>
    <row r="31" spans="1:3">
      <c r="A31" t="s">
        <v>31</v>
      </c>
      <c r="B31" s="6">
        <v>0.12640000000000004</v>
      </c>
      <c r="C31" s="6">
        <v>0.38760000000000011</v>
      </c>
    </row>
    <row r="32" spans="1:3">
      <c r="A32" t="s">
        <v>32</v>
      </c>
      <c r="B32" s="6">
        <v>-3.0470000000000014E-2</v>
      </c>
      <c r="C32" s="6">
        <v>3.5860000000000015E-3</v>
      </c>
    </row>
    <row r="33" spans="1:3">
      <c r="A33" t="s">
        <v>33</v>
      </c>
      <c r="B33" s="6">
        <v>4.3390000000000017E-3</v>
      </c>
      <c r="C33" s="6">
        <v>-1.4490000000000006E-3</v>
      </c>
    </row>
    <row r="34" spans="1:3">
      <c r="A34" t="s">
        <v>34</v>
      </c>
      <c r="B34" s="6">
        <v>3.190000000000001E-3</v>
      </c>
      <c r="C34" s="6">
        <v>8.0870000000000039E-3</v>
      </c>
    </row>
    <row r="35" spans="1:3">
      <c r="A35" t="s">
        <v>35</v>
      </c>
      <c r="B35" s="6">
        <v>-2.060000000000001E-4</v>
      </c>
      <c r="C35" s="6">
        <v>-1.2310000000000005E-3</v>
      </c>
    </row>
    <row r="36" spans="1:3">
      <c r="A36" t="s">
        <v>36</v>
      </c>
      <c r="B36" s="6">
        <v>-6.3300000000000032E-4</v>
      </c>
      <c r="C36" s="6">
        <v>-2.3000000000000014E-5</v>
      </c>
    </row>
    <row r="37" spans="1:3">
      <c r="A37" t="str">
        <f>"Number of Person-quarter observations"</f>
        <v>Number of Person-quarter observations</v>
      </c>
      <c r="B37" s="60">
        <v>621800000</v>
      </c>
      <c r="C37" s="60"/>
    </row>
  </sheetData>
  <mergeCells count="2">
    <mergeCell ref="B18:C18"/>
    <mergeCell ref="B37:C3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19"/>
  <sheetViews>
    <sheetView zoomScale="70" zoomScaleNormal="70" workbookViewId="0"/>
  </sheetViews>
  <sheetFormatPr baseColWidth="10" defaultColWidth="8.83203125" defaultRowHeight="15"/>
  <cols>
    <col min="1" max="1" width="33.83203125" customWidth="1"/>
    <col min="2" max="12" width="12.33203125" customWidth="1"/>
  </cols>
  <sheetData>
    <row r="1" spans="1:12">
      <c r="A1" t="str">
        <f>"Group level means of earnings and akm components - unweighted"</f>
        <v>Group level means of earnings and akm components - unweighted</v>
      </c>
      <c r="B1" s="39"/>
      <c r="C1" s="39"/>
      <c r="D1" s="39"/>
      <c r="E1" s="11"/>
      <c r="F1" s="39"/>
      <c r="G1" s="39"/>
      <c r="H1" s="39"/>
      <c r="I1" s="39"/>
      <c r="J1" s="39"/>
    </row>
    <row r="2" spans="1:12">
      <c r="A2" s="40"/>
      <c r="B2" s="39"/>
      <c r="C2" s="39"/>
      <c r="D2" s="39"/>
      <c r="E2" s="51"/>
      <c r="F2" s="39"/>
      <c r="G2" s="39"/>
      <c r="H2" s="39"/>
      <c r="I2" s="39"/>
      <c r="J2" s="39"/>
    </row>
    <row r="3" spans="1:12">
      <c r="A3" s="40"/>
      <c r="B3" s="39"/>
      <c r="C3" s="39"/>
      <c r="D3" s="71" t="s">
        <v>454</v>
      </c>
      <c r="E3" s="71"/>
      <c r="F3" s="71"/>
      <c r="G3" s="71"/>
      <c r="H3" s="71"/>
      <c r="I3" s="71"/>
      <c r="J3" s="71"/>
    </row>
    <row r="4" spans="1:12">
      <c r="A4" s="40"/>
      <c r="B4" s="39" t="s">
        <v>423</v>
      </c>
      <c r="C4" s="39" t="s">
        <v>453</v>
      </c>
      <c r="D4" s="71" t="s">
        <v>424</v>
      </c>
      <c r="E4" s="71"/>
      <c r="F4" s="1" t="str">
        <f>"Mid 10-90"</f>
        <v>Mid 10-90</v>
      </c>
      <c r="G4" s="1" t="str">
        <f>"Bottom 10"</f>
        <v>Bottom 10</v>
      </c>
      <c r="H4" s="1" t="str">
        <f>"Quintile 1"</f>
        <v>Quintile 1</v>
      </c>
      <c r="I4" s="1" t="str">
        <f>"Quintile 2"</f>
        <v>Quintile 2</v>
      </c>
      <c r="J4" s="1" t="str">
        <f>"Quintile 3"</f>
        <v>Quintile 3</v>
      </c>
      <c r="K4" s="1" t="str">
        <f>"Quintile 4"</f>
        <v>Quintile 4</v>
      </c>
      <c r="L4" s="1" t="str">
        <f>"Quintile 5"</f>
        <v>Quintile 5</v>
      </c>
    </row>
    <row r="5" spans="1:12">
      <c r="A5" s="40"/>
      <c r="B5" s="39"/>
      <c r="C5" s="39"/>
      <c r="D5" s="39" t="s">
        <v>425</v>
      </c>
      <c r="E5" s="39" t="s">
        <v>426</v>
      </c>
      <c r="F5" s="39"/>
      <c r="G5" s="39"/>
      <c r="H5" s="39"/>
      <c r="I5" s="39"/>
      <c r="J5" s="39"/>
    </row>
    <row r="6" spans="1:12">
      <c r="A6" s="40"/>
      <c r="B6" s="39"/>
      <c r="C6" s="39"/>
      <c r="D6" s="39"/>
      <c r="E6" s="39"/>
      <c r="F6" s="39"/>
      <c r="G6" s="39"/>
      <c r="H6" s="39"/>
      <c r="I6" s="39"/>
      <c r="J6" s="39"/>
    </row>
    <row r="7" spans="1:12">
      <c r="A7" s="40" t="s">
        <v>61</v>
      </c>
      <c r="B7" s="43" t="s">
        <v>455</v>
      </c>
      <c r="C7" s="43" t="s">
        <v>456</v>
      </c>
      <c r="D7" s="43" t="s">
        <v>457</v>
      </c>
      <c r="E7" s="43" t="s">
        <v>458</v>
      </c>
      <c r="F7" s="43" t="s">
        <v>459</v>
      </c>
      <c r="G7" s="43" t="s">
        <v>460</v>
      </c>
      <c r="H7" s="43" t="s">
        <v>461</v>
      </c>
      <c r="I7" s="43" t="s">
        <v>462</v>
      </c>
      <c r="J7" s="43" t="s">
        <v>463</v>
      </c>
      <c r="K7" s="43" t="s">
        <v>464</v>
      </c>
      <c r="L7" s="43" t="s">
        <v>465</v>
      </c>
    </row>
    <row r="8" spans="1:12">
      <c r="A8" s="40"/>
      <c r="B8" s="43" t="s">
        <v>466</v>
      </c>
      <c r="C8" s="43" t="s">
        <v>467</v>
      </c>
      <c r="D8" s="43" t="s">
        <v>468</v>
      </c>
      <c r="E8" s="43" t="s">
        <v>469</v>
      </c>
      <c r="F8" s="43" t="s">
        <v>470</v>
      </c>
      <c r="G8" s="43" t="s">
        <v>471</v>
      </c>
      <c r="H8" s="43" t="s">
        <v>472</v>
      </c>
      <c r="I8" s="43" t="s">
        <v>473</v>
      </c>
      <c r="J8" s="43" t="s">
        <v>474</v>
      </c>
      <c r="K8" s="43" t="s">
        <v>475</v>
      </c>
      <c r="L8" s="43" t="s">
        <v>476</v>
      </c>
    </row>
    <row r="9" spans="1:12">
      <c r="A9" s="40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>
      <c r="A10" s="40" t="s">
        <v>427</v>
      </c>
      <c r="B10" s="43" t="s">
        <v>477</v>
      </c>
      <c r="C10" s="43" t="s">
        <v>478</v>
      </c>
      <c r="D10" s="43" t="s">
        <v>479</v>
      </c>
      <c r="E10" s="43" t="s">
        <v>480</v>
      </c>
      <c r="F10" s="43" t="s">
        <v>481</v>
      </c>
      <c r="G10" s="43" t="s">
        <v>482</v>
      </c>
      <c r="H10" s="43" t="s">
        <v>483</v>
      </c>
      <c r="I10" s="43" t="s">
        <v>484</v>
      </c>
      <c r="J10" s="43" t="s">
        <v>485</v>
      </c>
      <c r="K10" s="43" t="s">
        <v>481</v>
      </c>
      <c r="L10" s="43" t="s">
        <v>486</v>
      </c>
    </row>
    <row r="11" spans="1:12">
      <c r="A11" s="40"/>
      <c r="B11" s="43" t="s">
        <v>487</v>
      </c>
      <c r="C11" s="43" t="s">
        <v>488</v>
      </c>
      <c r="D11" s="43" t="s">
        <v>489</v>
      </c>
      <c r="E11" s="43" t="s">
        <v>490</v>
      </c>
      <c r="F11" s="43" t="s">
        <v>491</v>
      </c>
      <c r="G11" s="43" t="s">
        <v>492</v>
      </c>
      <c r="H11" s="43" t="s">
        <v>493</v>
      </c>
      <c r="I11" s="43" t="s">
        <v>494</v>
      </c>
      <c r="J11" s="43" t="s">
        <v>495</v>
      </c>
      <c r="K11" s="43" t="s">
        <v>496</v>
      </c>
      <c r="L11" s="43" t="s">
        <v>497</v>
      </c>
    </row>
    <row r="12" spans="1:12">
      <c r="A12" s="40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</row>
    <row r="13" spans="1:12">
      <c r="A13" s="40" t="s">
        <v>428</v>
      </c>
      <c r="B13" s="43" t="s">
        <v>498</v>
      </c>
      <c r="C13" s="43" t="s">
        <v>499</v>
      </c>
      <c r="D13" s="43" t="s">
        <v>500</v>
      </c>
      <c r="E13" s="43" t="s">
        <v>235</v>
      </c>
      <c r="F13" s="43" t="s">
        <v>498</v>
      </c>
      <c r="G13" s="43" t="s">
        <v>501</v>
      </c>
      <c r="H13" s="43" t="s">
        <v>502</v>
      </c>
      <c r="I13" s="43" t="s">
        <v>503</v>
      </c>
      <c r="J13" s="43" t="s">
        <v>504</v>
      </c>
      <c r="K13" s="43" t="s">
        <v>505</v>
      </c>
      <c r="L13" s="43" t="s">
        <v>506</v>
      </c>
    </row>
    <row r="14" spans="1:12">
      <c r="A14" s="40"/>
      <c r="B14" s="43" t="s">
        <v>507</v>
      </c>
      <c r="C14" s="43" t="s">
        <v>508</v>
      </c>
      <c r="D14" s="43" t="s">
        <v>509</v>
      </c>
      <c r="E14" s="43" t="s">
        <v>510</v>
      </c>
      <c r="F14" s="43" t="s">
        <v>511</v>
      </c>
      <c r="G14" s="43" t="s">
        <v>512</v>
      </c>
      <c r="H14" s="43" t="s">
        <v>513</v>
      </c>
      <c r="I14" s="43" t="s">
        <v>429</v>
      </c>
      <c r="J14" s="43" t="s">
        <v>514</v>
      </c>
      <c r="K14" s="43" t="s">
        <v>515</v>
      </c>
      <c r="L14" s="43" t="s">
        <v>516</v>
      </c>
    </row>
    <row r="15" spans="1:12">
      <c r="A15" s="40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1:12">
      <c r="A16" s="40" t="s">
        <v>430</v>
      </c>
      <c r="B16" s="43" t="s">
        <v>517</v>
      </c>
      <c r="C16" s="43" t="s">
        <v>518</v>
      </c>
      <c r="D16" s="43" t="s">
        <v>519</v>
      </c>
      <c r="E16" s="43" t="s">
        <v>520</v>
      </c>
      <c r="F16" s="43" t="s">
        <v>521</v>
      </c>
      <c r="G16" s="43" t="s">
        <v>522</v>
      </c>
      <c r="H16" s="43" t="s">
        <v>523</v>
      </c>
      <c r="I16" s="43" t="s">
        <v>524</v>
      </c>
      <c r="J16" s="43" t="s">
        <v>525</v>
      </c>
      <c r="K16" s="43" t="s">
        <v>526</v>
      </c>
      <c r="L16" s="43" t="s">
        <v>527</v>
      </c>
    </row>
    <row r="17" spans="1:12">
      <c r="A17" s="40"/>
      <c r="B17" s="43" t="s">
        <v>528</v>
      </c>
      <c r="C17" s="43" t="s">
        <v>529</v>
      </c>
      <c r="D17" s="43" t="s">
        <v>530</v>
      </c>
      <c r="E17" s="43" t="s">
        <v>531</v>
      </c>
      <c r="F17" s="43" t="s">
        <v>532</v>
      </c>
      <c r="G17" s="43" t="s">
        <v>533</v>
      </c>
      <c r="H17" s="43" t="s">
        <v>534</v>
      </c>
      <c r="I17" s="43" t="s">
        <v>535</v>
      </c>
      <c r="J17" s="43" t="s">
        <v>536</v>
      </c>
      <c r="K17" s="43" t="s">
        <v>537</v>
      </c>
      <c r="L17" s="43" t="s">
        <v>538</v>
      </c>
    </row>
    <row r="18" spans="1:12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5"/>
      <c r="L18" s="45"/>
    </row>
    <row r="19" spans="1:12">
      <c r="A19" s="40" t="s">
        <v>431</v>
      </c>
      <c r="B19" s="43" t="s">
        <v>539</v>
      </c>
      <c r="C19" s="43" t="s">
        <v>540</v>
      </c>
      <c r="D19" s="72">
        <v>10</v>
      </c>
      <c r="E19" s="72"/>
      <c r="F19" s="46" t="s">
        <v>541</v>
      </c>
      <c r="G19" s="46" t="s">
        <v>345</v>
      </c>
      <c r="H19" s="46" t="s">
        <v>542</v>
      </c>
      <c r="I19" s="46" t="s">
        <v>542</v>
      </c>
      <c r="J19" s="46" t="s">
        <v>542</v>
      </c>
      <c r="K19" s="43" t="s">
        <v>542</v>
      </c>
      <c r="L19" s="43" t="s">
        <v>542</v>
      </c>
    </row>
  </sheetData>
  <mergeCells count="3">
    <mergeCell ref="D3:J3"/>
    <mergeCell ref="D4:E4"/>
    <mergeCell ref="D19:E1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6"/>
  <sheetViews>
    <sheetView workbookViewId="0">
      <selection activeCell="A11" sqref="A11"/>
    </sheetView>
  </sheetViews>
  <sheetFormatPr baseColWidth="10" defaultColWidth="9.1640625" defaultRowHeight="15"/>
  <cols>
    <col min="1" max="1" width="41" style="2" customWidth="1"/>
    <col min="2" max="2" width="16.33203125" style="2" customWidth="1"/>
    <col min="3" max="3" width="9.1640625" style="2"/>
    <col min="4" max="4" width="12" style="2" bestFit="1" customWidth="1"/>
    <col min="5" max="16384" width="9.1640625" style="2"/>
  </cols>
  <sheetData>
    <row r="1" spans="1:4">
      <c r="A1" s="16" t="s">
        <v>434</v>
      </c>
      <c r="B1" s="4"/>
    </row>
    <row r="2" spans="1:4">
      <c r="B2" s="4"/>
    </row>
    <row r="3" spans="1:4">
      <c r="B3" s="4" t="s">
        <v>41</v>
      </c>
    </row>
    <row r="4" spans="1:4">
      <c r="B4" s="40" t="s">
        <v>435</v>
      </c>
    </row>
    <row r="5" spans="1:4">
      <c r="B5" s="4"/>
    </row>
    <row r="6" spans="1:4">
      <c r="A6" s="2" t="s">
        <v>445</v>
      </c>
      <c r="B6" s="47">
        <v>7.9340000000000035E-2</v>
      </c>
    </row>
    <row r="7" spans="1:4">
      <c r="A7" s="2" t="s">
        <v>436</v>
      </c>
      <c r="B7" s="47">
        <v>9.8940000000000042E-2</v>
      </c>
      <c r="D7" s="2" t="s">
        <v>596</v>
      </c>
    </row>
    <row r="8" spans="1:4">
      <c r="A8" s="2" t="s">
        <v>437</v>
      </c>
      <c r="B8" s="47">
        <v>1.0440000000000005E-2</v>
      </c>
    </row>
    <row r="9" spans="1:4">
      <c r="A9" s="2" t="s">
        <v>438</v>
      </c>
      <c r="B9" s="47"/>
    </row>
    <row r="10" spans="1:4">
      <c r="A10" s="2" t="s">
        <v>439</v>
      </c>
      <c r="B10" s="48">
        <v>0.35600000000000009</v>
      </c>
    </row>
    <row r="11" spans="1:4">
      <c r="B11" s="47"/>
    </row>
    <row r="12" spans="1:4">
      <c r="A12" s="2" t="s">
        <v>444</v>
      </c>
      <c r="B12" s="47">
        <v>0.13890000000000005</v>
      </c>
    </row>
    <row r="13" spans="1:4">
      <c r="A13" s="2" t="s">
        <v>440</v>
      </c>
      <c r="B13" s="47">
        <v>0.19710000000000005</v>
      </c>
    </row>
    <row r="14" spans="1:4">
      <c r="A14" s="2" t="s">
        <v>441</v>
      </c>
      <c r="B14" s="47">
        <v>1.8310000000000007E-2</v>
      </c>
    </row>
    <row r="15" spans="1:4">
      <c r="A15" s="2" t="s">
        <v>442</v>
      </c>
      <c r="B15" s="47">
        <v>1.6200000000000009E-4</v>
      </c>
    </row>
    <row r="16" spans="1:4">
      <c r="A16" s="2" t="s">
        <v>443</v>
      </c>
      <c r="B16" s="48">
        <v>0.62340000000000018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13"/>
  <sheetViews>
    <sheetView zoomScale="70" zoomScaleNormal="70" workbookViewId="0">
      <selection activeCell="K44" sqref="K44"/>
    </sheetView>
  </sheetViews>
  <sheetFormatPr baseColWidth="10" defaultColWidth="8.83203125" defaultRowHeight="15"/>
  <cols>
    <col min="1" max="1" width="28.33203125" customWidth="1"/>
    <col min="2" max="2" width="26.6640625" customWidth="1"/>
  </cols>
  <sheetData>
    <row r="1" spans="1:2">
      <c r="A1" t="str">
        <f>"Regressions of firm match effects for different education groups"</f>
        <v>Regressions of firm match effects for different education groups</v>
      </c>
    </row>
    <row r="3" spans="1:2">
      <c r="A3" t="str">
        <f>""</f>
        <v/>
      </c>
      <c r="B3" s="1" t="str">
        <f>"4VEDUC SAMPLE"</f>
        <v>4VEDUC SAMPLE</v>
      </c>
    </row>
    <row r="4" spans="1:2">
      <c r="B4" s="1" t="s">
        <v>446</v>
      </c>
    </row>
    <row r="5" spans="1:2">
      <c r="A5" t="str">
        <f>""</f>
        <v/>
      </c>
      <c r="B5" s="1" t="s">
        <v>448</v>
      </c>
    </row>
    <row r="6" spans="1:2">
      <c r="B6" s="1"/>
    </row>
    <row r="7" spans="1:2">
      <c r="A7" t="s">
        <v>447</v>
      </c>
      <c r="B7" s="1" t="s">
        <v>543</v>
      </c>
    </row>
    <row r="8" spans="1:2">
      <c r="A8" t="str">
        <f>""</f>
        <v/>
      </c>
      <c r="B8" s="1" t="s">
        <v>544</v>
      </c>
    </row>
    <row r="9" spans="1:2">
      <c r="B9" s="1"/>
    </row>
    <row r="10" spans="1:2">
      <c r="A10" t="s">
        <v>449</v>
      </c>
      <c r="B10" s="1" t="s">
        <v>545</v>
      </c>
    </row>
    <row r="11" spans="1:2">
      <c r="A11" t="str">
        <f>""</f>
        <v/>
      </c>
      <c r="B11" s="1" t="s">
        <v>546</v>
      </c>
    </row>
    <row r="12" spans="1:2">
      <c r="B12" s="1"/>
    </row>
    <row r="13" spans="1:2">
      <c r="A13" t="str">
        <f>"Person-quarter observations"</f>
        <v>Person-quarter observations</v>
      </c>
      <c r="B13" s="1" t="s">
        <v>547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1"/>
  <sheetViews>
    <sheetView tabSelected="1" zoomScale="70" zoomScaleNormal="70" workbookViewId="0">
      <selection activeCell="D40" sqref="D40"/>
    </sheetView>
  </sheetViews>
  <sheetFormatPr baseColWidth="10" defaultColWidth="8.83203125" defaultRowHeight="15"/>
  <cols>
    <col min="1" max="3" width="28.33203125" customWidth="1"/>
    <col min="4" max="4" width="22.6640625" customWidth="1"/>
    <col min="5" max="5" width="18.83203125" customWidth="1"/>
  </cols>
  <sheetData>
    <row r="1" spans="1:5">
      <c r="A1" t="str">
        <f>"R2s of regressions of aggregated residuals on firm and education dummies"</f>
        <v>R2s of regressions of aggregated residuals on firm and education dummies</v>
      </c>
    </row>
    <row r="3" spans="1:5">
      <c r="A3" t="str">
        <f>""</f>
        <v/>
      </c>
      <c r="B3" s="59" t="str">
        <f>"4VEDUC SAMPLE"</f>
        <v>4VEDUC SAMPLE</v>
      </c>
      <c r="C3" s="59"/>
      <c r="D3" s="59" t="s">
        <v>446</v>
      </c>
      <c r="E3" s="59"/>
    </row>
    <row r="4" spans="1:5" ht="48" customHeight="1">
      <c r="B4" s="12" t="s">
        <v>451</v>
      </c>
      <c r="C4" s="12" t="s">
        <v>452</v>
      </c>
      <c r="D4" s="12" t="s">
        <v>451</v>
      </c>
      <c r="E4" s="12" t="s">
        <v>452</v>
      </c>
    </row>
    <row r="5" spans="1:5">
      <c r="B5" s="1"/>
      <c r="C5" s="1"/>
      <c r="D5" s="1"/>
      <c r="E5" s="1"/>
    </row>
    <row r="6" spans="1:5">
      <c r="A6" t="s">
        <v>450</v>
      </c>
      <c r="B6" s="1">
        <v>0.121</v>
      </c>
      <c r="C6" s="1">
        <v>0.17299999999999999</v>
      </c>
      <c r="D6" s="1">
        <v>4.7E-2</v>
      </c>
      <c r="E6" s="1">
        <v>0.111</v>
      </c>
    </row>
    <row r="7" spans="1:5">
      <c r="A7" s="2" t="s">
        <v>548</v>
      </c>
      <c r="B7" s="1">
        <v>-6.5000000000000002E-2</v>
      </c>
      <c r="C7" s="1">
        <v>-7.6999999999999999E-2</v>
      </c>
      <c r="D7" s="1">
        <v>-2.8000000000000001E-2</v>
      </c>
      <c r="E7" s="1">
        <v>-3.9E-2</v>
      </c>
    </row>
    <row r="8" spans="1:5">
      <c r="B8" s="1"/>
      <c r="C8" s="1"/>
      <c r="D8" s="1"/>
      <c r="E8" s="1"/>
    </row>
    <row r="9" spans="1:5">
      <c r="B9" s="1"/>
      <c r="C9" s="1"/>
      <c r="D9" s="1"/>
      <c r="E9" s="1"/>
    </row>
    <row r="10" spans="1:5">
      <c r="B10" s="1"/>
      <c r="C10" s="1"/>
      <c r="D10" s="1"/>
      <c r="E10" s="1"/>
    </row>
    <row r="11" spans="1:5">
      <c r="B11" s="1"/>
      <c r="C11" s="1"/>
      <c r="D11" s="1"/>
      <c r="E11" s="1"/>
    </row>
  </sheetData>
  <mergeCells count="2">
    <mergeCell ref="B3:C3"/>
    <mergeCell ref="D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Moises Yi</cp:lastModifiedBy>
  <dcterms:modified xsi:type="dcterms:W3CDTF">2023-09-18T16:52:33Z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