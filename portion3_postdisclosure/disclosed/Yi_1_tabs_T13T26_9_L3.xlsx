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aej-applied/replication/v2/postdisclosure/disclosed/"/>
    </mc:Choice>
  </mc:AlternateContent>
  <xr:revisionPtr revIDLastSave="0" documentId="13_ncr:1_{70355669-E907-384D-B614-8AE7C2FD0210}" xr6:coauthVersionLast="47" xr6:coauthVersionMax="47" xr10:uidLastSave="{00000000-0000-0000-0000-000000000000}"/>
  <bookViews>
    <workbookView xWindow="17840" yWindow="980" windowWidth="18140" windowHeight="18580" tabRatio="1000" activeTab="2" xr2:uid="{00000000-000D-0000-FFFF-FFFF00000000}"/>
  </bookViews>
  <sheets>
    <sheet name="1" sheetId="30" r:id="rId1"/>
    <sheet name="2" sheetId="31" r:id="rId2"/>
    <sheet name="3" sheetId="32" r:id="rId3"/>
    <sheet name="4" sheetId="34" r:id="rId4"/>
    <sheet name="5" sheetId="33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34" l="1"/>
  <c r="B22" i="34"/>
  <c r="D13" i="30"/>
  <c r="E13" i="30"/>
  <c r="C13" i="30" l="1"/>
  <c r="B13" i="30"/>
  <c r="A6" i="30"/>
  <c r="A12" i="31"/>
  <c r="B7" i="34"/>
  <c r="B17" i="34" l="1"/>
  <c r="A17" i="34"/>
  <c r="G7" i="34"/>
  <c r="F7" i="34"/>
  <c r="E7" i="34"/>
  <c r="D7" i="34"/>
  <c r="C7" i="34"/>
  <c r="G16" i="34"/>
  <c r="F16" i="34"/>
  <c r="E16" i="34"/>
  <c r="D16" i="34"/>
  <c r="C16" i="34"/>
  <c r="B16" i="34"/>
  <c r="A16" i="34"/>
  <c r="G15" i="34"/>
  <c r="F15" i="34"/>
  <c r="E15" i="34"/>
  <c r="D15" i="34"/>
  <c r="C15" i="34"/>
  <c r="B15" i="34"/>
  <c r="A15" i="34"/>
  <c r="G13" i="34"/>
  <c r="F13" i="34"/>
  <c r="E13" i="34"/>
  <c r="D13" i="34"/>
  <c r="C13" i="34"/>
  <c r="B13" i="34"/>
  <c r="A13" i="34"/>
  <c r="G12" i="34"/>
  <c r="F12" i="34"/>
  <c r="E12" i="34"/>
  <c r="D12" i="34"/>
  <c r="C12" i="34"/>
  <c r="B12" i="34"/>
  <c r="A12" i="34"/>
  <c r="D19" i="34"/>
  <c r="C19" i="34"/>
  <c r="B19" i="34"/>
  <c r="G6" i="34"/>
  <c r="G18" i="34"/>
  <c r="F18" i="34"/>
  <c r="E18" i="34"/>
  <c r="D18" i="34"/>
  <c r="C18" i="34"/>
  <c r="B18" i="34"/>
  <c r="D10" i="34"/>
  <c r="C10" i="34"/>
  <c r="B10" i="34"/>
  <c r="D9" i="34"/>
  <c r="C9" i="34"/>
  <c r="B9" i="34"/>
  <c r="A10" i="34"/>
  <c r="A7" i="34"/>
  <c r="F6" i="34"/>
  <c r="E6" i="34"/>
  <c r="D6" i="34"/>
  <c r="C6" i="34"/>
  <c r="B6" i="34"/>
  <c r="A6" i="34"/>
  <c r="A1" i="34"/>
  <c r="A13" i="33" l="1"/>
  <c r="A9" i="33"/>
  <c r="B9" i="33"/>
  <c r="B10" i="33"/>
  <c r="B14" i="33"/>
  <c r="B13" i="33"/>
  <c r="A10" i="33"/>
  <c r="A6" i="33"/>
  <c r="A8" i="31" l="1"/>
  <c r="D13" i="31"/>
  <c r="C13" i="31"/>
  <c r="B13" i="31"/>
  <c r="D9" i="31"/>
  <c r="C9" i="31"/>
  <c r="B9" i="31"/>
  <c r="D12" i="31"/>
  <c r="C12" i="31"/>
  <c r="B12" i="31"/>
  <c r="D8" i="31"/>
  <c r="C8" i="31"/>
  <c r="B8" i="31"/>
  <c r="B13" i="32"/>
  <c r="A13" i="32"/>
  <c r="B12" i="32"/>
  <c r="B10" i="32"/>
  <c r="A10" i="32"/>
  <c r="B9" i="32"/>
  <c r="A7" i="32"/>
  <c r="A1" i="30"/>
  <c r="E10" i="30"/>
  <c r="D10" i="30"/>
  <c r="C10" i="30"/>
  <c r="B10" i="30"/>
  <c r="A10" i="30"/>
  <c r="E9" i="30"/>
  <c r="D9" i="30"/>
  <c r="C9" i="30"/>
  <c r="B9" i="30"/>
  <c r="A9" i="30"/>
  <c r="E7" i="30"/>
  <c r="D7" i="30"/>
  <c r="C7" i="30"/>
  <c r="B7" i="30"/>
  <c r="A7" i="30"/>
  <c r="E6" i="30"/>
  <c r="D6" i="30"/>
  <c r="C6" i="30"/>
  <c r="B6" i="30"/>
  <c r="E4" i="30"/>
  <c r="D4" i="30"/>
  <c r="C4" i="30"/>
  <c r="B4" i="30"/>
  <c r="A4" i="30"/>
</calcChain>
</file>

<file path=xl/sharedStrings.xml><?xml version="1.0" encoding="utf-8"?>
<sst xmlns="http://schemas.openxmlformats.org/spreadsheetml/2006/main" count="26" uniqueCount="26">
  <si>
    <t>(1)</t>
  </si>
  <si>
    <t>Number of estimates: 12</t>
  </si>
  <si>
    <t>Slope for symmetry plot: Firm Movers, t to t+4</t>
  </si>
  <si>
    <t>Number of estimates: 2</t>
  </si>
  <si>
    <t>SAMPLE 9</t>
  </si>
  <si>
    <t>Number of estimates: 4</t>
  </si>
  <si>
    <t>Bottom tercile</t>
  </si>
  <si>
    <t>Mid Tercile</t>
  </si>
  <si>
    <t>Top Tercile</t>
  </si>
  <si>
    <t>Dependent variable: d_akm_res_t4</t>
  </si>
  <si>
    <t>Dependent variable: d_akm_res</t>
  </si>
  <si>
    <t>Number of estimates: 6</t>
  </si>
  <si>
    <t>Output 5: Regressions of Education Gap components on CZ-level regressors (earnings, size, etc.) – Baseline AKM model</t>
  </si>
  <si>
    <t>Education gap components</t>
  </si>
  <si>
    <t>A+C+D</t>
  </si>
  <si>
    <t>Note: all regressions weighted by Sample 8 cell sizes</t>
  </si>
  <si>
    <t>psi_c_baseline</t>
  </si>
  <si>
    <t xml:space="preserve"> R2</t>
  </si>
  <si>
    <t>SD of Dependent Variable</t>
  </si>
  <si>
    <t>Number of estimates: 16</t>
  </si>
  <si>
    <t>Slope for Binscatter: Firm Movers, split by tercile of person effect</t>
  </si>
  <si>
    <t>Sample 9</t>
  </si>
  <si>
    <t>d_y_m_xb</t>
  </si>
  <si>
    <t>intercept</t>
  </si>
  <si>
    <t>d_y_m_xb_upmax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</si>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</sst>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49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2"/>
    <xf numFmtId="0" fontId="2" fillId="0" borderId="0" xfId="2" applyAlignment="1">
      <alignment horizontal="center"/>
    </xf>
    <xf numFmtId="0" fontId="2" fillId="0" borderId="0" xfId="2" applyAlignment="1">
      <alignment horizontal="left"/>
    </xf>
    <xf numFmtId="0" fontId="3" fillId="0" borderId="0" xfId="2" applyFont="1" applyAlignment="1">
      <alignment horizontal="center"/>
    </xf>
    <xf numFmtId="0" fontId="2" fillId="0" borderId="0" xfId="1" applyFo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0" borderId="0" xfId="2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6A5ADF55-6458-49AD-8915-DB9698CDC3A0}"/>
    <cellStyle name="Normal 3" xfId="2" xr:uid="{464A4DF2-8257-49C8-8469-1B06D0D2B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B50C-7B1B-488A-A981-F8FC95271954}">
  <dimension ref="A1:E13"/>
  <sheetViews>
    <sheetView zoomScale="89" zoomScaleNormal="89" workbookViewId="0">
      <selection activeCell="A13" sqref="A13"/>
    </sheetView>
  </sheetViews>
  <sheetFormatPr baseColWidth="10" defaultColWidth="8.83203125" defaultRowHeight="15" x14ac:dyDescent="0.2"/>
  <cols>
    <col min="1" max="1" width="10.6640625" customWidth="1"/>
  </cols>
  <sheetData>
    <row r="1" spans="1:5" x14ac:dyDescent="0.2">
      <c r="A1" t="str">
        <f>"output 1 - comparison of psics"</f>
        <v>output 1 - comparison of psics</v>
      </c>
    </row>
    <row r="2" spans="1:5" x14ac:dyDescent="0.2">
      <c r="A2" t="s">
        <v>1</v>
      </c>
    </row>
    <row r="4" spans="1:5" x14ac:dyDescent="0.2">
      <c r="A4" t="str">
        <f>""</f>
        <v/>
      </c>
      <c r="B4" t="str">
        <f>"logwage"</f>
        <v>logwage</v>
      </c>
      <c r="C4" t="str">
        <f>"cz_effects_m1"</f>
        <v>cz_effects_m1</v>
      </c>
      <c r="D4" t="str">
        <f>"cz_effects_m2"</f>
        <v>cz_effects_m2</v>
      </c>
      <c r="E4" t="str">
        <f>"cz_effects_m3"</f>
        <v>cz_effects_m3</v>
      </c>
    </row>
    <row r="6" spans="1:5" x14ac:dyDescent="0.2">
      <c r="A6" t="str">
        <f>"psi_c_baseline"</f>
        <v>psi_c_baseline</v>
      </c>
      <c r="B6" t="str">
        <f>"1.432"</f>
        <v>1.432</v>
      </c>
      <c r="C6" t="str">
        <f>"1.331"</f>
        <v>1.331</v>
      </c>
      <c r="D6" t="str">
        <f>"1.265"</f>
        <v>1.265</v>
      </c>
      <c r="E6" t="str">
        <f>"1.181"</f>
        <v>1.181</v>
      </c>
    </row>
    <row r="7" spans="1:5" x14ac:dyDescent="0.2">
      <c r="A7" t="str">
        <f>""</f>
        <v/>
      </c>
      <c r="B7" t="str">
        <f>"(0.107)"</f>
        <v>(0.107)</v>
      </c>
      <c r="C7" t="str">
        <f>"(0.0534)"</f>
        <v>(0.0534)</v>
      </c>
      <c r="D7" t="str">
        <f>"(0.0580)"</f>
        <v>(0.0580)</v>
      </c>
      <c r="E7" t="str">
        <f>"(0.0616)"</f>
        <v>(0.0616)</v>
      </c>
    </row>
    <row r="9" spans="1:5" x14ac:dyDescent="0.2">
      <c r="A9" t="str">
        <f>"R-sq"</f>
        <v>R-sq</v>
      </c>
      <c r="B9" t="str">
        <f>"0.656"</f>
        <v>0.656</v>
      </c>
      <c r="C9" t="str">
        <f>"0.816"</f>
        <v>0.816</v>
      </c>
      <c r="D9" t="str">
        <f>"0.813"</f>
        <v>0.813</v>
      </c>
      <c r="E9" t="str">
        <f>"0.777"</f>
        <v>0.777</v>
      </c>
    </row>
    <row r="10" spans="1:5" x14ac:dyDescent="0.2">
      <c r="A10" t="str">
        <f>"SD of dependent variable"</f>
        <v>SD of dependent variable</v>
      </c>
      <c r="B10" t="str">
        <f>"0.140"</f>
        <v>0.140</v>
      </c>
      <c r="C10" t="str">
        <f>"0.117"</f>
        <v>0.117</v>
      </c>
      <c r="D10" t="str">
        <f>"0.111"</f>
        <v>0.111</v>
      </c>
      <c r="E10" t="str">
        <f>"0.106"</f>
        <v>0.106</v>
      </c>
    </row>
    <row r="13" spans="1:5" x14ac:dyDescent="0.2">
      <c r="A13" s="16" t="s">
        <v>25</v>
      </c>
      <c r="B13">
        <f>B9^0.5</f>
        <v>0.80993826925266355</v>
      </c>
      <c r="C13">
        <f>C9^0.5</f>
        <v>0.90332718325089711</v>
      </c>
      <c r="D13">
        <f t="shared" ref="D13:E13" si="0">D9^0.5</f>
        <v>0.90166512630798801</v>
      </c>
      <c r="E13">
        <f t="shared" si="0"/>
        <v>0.88147603484156056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59F1-A4DE-4773-8D87-86339835AEEC}">
  <dimension ref="A1:G13"/>
  <sheetViews>
    <sheetView zoomScale="89" zoomScaleNormal="89" workbookViewId="0">
      <selection activeCell="A12" sqref="A12"/>
    </sheetView>
  </sheetViews>
  <sheetFormatPr baseColWidth="10" defaultColWidth="11.5" defaultRowHeight="15" x14ac:dyDescent="0.2"/>
  <cols>
    <col min="1" max="1" width="16.83203125" style="1" customWidth="1"/>
    <col min="2" max="4" width="14.33203125" style="2" customWidth="1"/>
    <col min="5" max="16384" width="11.5" style="1"/>
  </cols>
  <sheetData>
    <row r="1" spans="1:7" x14ac:dyDescent="0.2">
      <c r="A1" s="14" t="s">
        <v>20</v>
      </c>
    </row>
    <row r="2" spans="1:7" x14ac:dyDescent="0.2">
      <c r="A2" t="s">
        <v>11</v>
      </c>
    </row>
    <row r="3" spans="1:7" x14ac:dyDescent="0.2">
      <c r="A3"/>
    </row>
    <row r="4" spans="1:7" x14ac:dyDescent="0.2">
      <c r="A4"/>
      <c r="B4" s="17" t="s">
        <v>21</v>
      </c>
      <c r="C4" s="18"/>
      <c r="D4" s="18"/>
    </row>
    <row r="5" spans="1:7" x14ac:dyDescent="0.2">
      <c r="B5" s="3" t="s">
        <v>6</v>
      </c>
      <c r="C5" s="2" t="s">
        <v>7</v>
      </c>
      <c r="D5" s="2" t="s">
        <v>8</v>
      </c>
      <c r="E5" s="3"/>
    </row>
    <row r="6" spans="1:7" x14ac:dyDescent="0.2">
      <c r="B6" s="4"/>
      <c r="C6" s="4"/>
      <c r="D6" s="4"/>
      <c r="E6"/>
      <c r="F6"/>
      <c r="G6"/>
    </row>
    <row r="7" spans="1:7" x14ac:dyDescent="0.2">
      <c r="A7" s="1" t="s">
        <v>10</v>
      </c>
    </row>
    <row r="8" spans="1:7" x14ac:dyDescent="0.2">
      <c r="A8" t="str">
        <f>"d_akm_firm"</f>
        <v>d_akm_firm</v>
      </c>
      <c r="B8" s="4" t="str">
        <f>"-0.149"</f>
        <v>-0.149</v>
      </c>
      <c r="C8" s="4" t="str">
        <f>"-0.113"</f>
        <v>-0.113</v>
      </c>
      <c r="D8" s="4" t="str">
        <f>"-0.121"</f>
        <v>-0.121</v>
      </c>
    </row>
    <row r="9" spans="1:7" x14ac:dyDescent="0.2">
      <c r="B9" s="4" t="str">
        <f>"(0.00449)"</f>
        <v>(0.00449)</v>
      </c>
      <c r="C9" s="4" t="str">
        <f>"(0.00668)"</f>
        <v>(0.00668)</v>
      </c>
      <c r="D9" s="4" t="str">
        <f>"(0.00737)"</f>
        <v>(0.00737)</v>
      </c>
    </row>
    <row r="10" spans="1:7" x14ac:dyDescent="0.2">
      <c r="B10" s="4"/>
      <c r="C10" s="4"/>
      <c r="D10" s="4"/>
    </row>
    <row r="11" spans="1:7" x14ac:dyDescent="0.2">
      <c r="A11" s="1" t="s">
        <v>9</v>
      </c>
    </row>
    <row r="12" spans="1:7" x14ac:dyDescent="0.2">
      <c r="A12" t="str">
        <f>"d_akm_firm"</f>
        <v>d_akm_firm</v>
      </c>
      <c r="B12" s="4" t="str">
        <f>"-0.114"</f>
        <v>-0.114</v>
      </c>
      <c r="C12" s="4" t="str">
        <f>"-0.0647"</f>
        <v>-0.0647</v>
      </c>
      <c r="D12" s="4" t="str">
        <f>"-0.0511"</f>
        <v>-0.0511</v>
      </c>
    </row>
    <row r="13" spans="1:7" x14ac:dyDescent="0.2">
      <c r="B13" s="4" t="str">
        <f>"(0.00310)"</f>
        <v>(0.00310)</v>
      </c>
      <c r="C13" s="4" t="str">
        <f>"(0.00496)"</f>
        <v>(0.00496)</v>
      </c>
      <c r="D13" s="4" t="str">
        <f>"(0.00678)"</f>
        <v>(0.00678)</v>
      </c>
    </row>
  </sheetData>
  <mergeCells count="1">
    <mergeCell ref="B4:D4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CD34-3A40-4676-A2E9-612728156CF5}">
  <dimension ref="A1:B13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5.5" style="6" customWidth="1"/>
    <col min="2" max="2" width="25.5" style="4" customWidth="1"/>
  </cols>
  <sheetData>
    <row r="1" spans="1:2" x14ac:dyDescent="0.2">
      <c r="A1" s="5" t="s">
        <v>2</v>
      </c>
      <c r="B1" s="2"/>
    </row>
    <row r="2" spans="1:2" x14ac:dyDescent="0.2">
      <c r="A2" s="6" t="s">
        <v>5</v>
      </c>
    </row>
    <row r="4" spans="1:2" x14ac:dyDescent="0.2">
      <c r="A4" s="5"/>
      <c r="B4" s="2" t="s">
        <v>4</v>
      </c>
    </row>
    <row r="5" spans="1:2" x14ac:dyDescent="0.2">
      <c r="A5" s="5"/>
      <c r="B5" s="3" t="s">
        <v>0</v>
      </c>
    </row>
    <row r="6" spans="1:2" x14ac:dyDescent="0.2">
      <c r="A6" s="5"/>
      <c r="B6" s="3"/>
    </row>
    <row r="7" spans="1:2" x14ac:dyDescent="0.2">
      <c r="A7" s="6" t="str">
        <f>""</f>
        <v/>
      </c>
      <c r="B7" s="8" t="s">
        <v>22</v>
      </c>
    </row>
    <row r="9" spans="1:2" x14ac:dyDescent="0.2">
      <c r="A9" s="7" t="s">
        <v>24</v>
      </c>
      <c r="B9" s="4" t="str">
        <f>"-1.112"</f>
        <v>-1.112</v>
      </c>
    </row>
    <row r="10" spans="1:2" x14ac:dyDescent="0.2">
      <c r="A10" s="6" t="str">
        <f>""</f>
        <v/>
      </c>
      <c r="B10" s="4" t="str">
        <f>"(0.00861)"</f>
        <v>(0.00861)</v>
      </c>
    </row>
    <row r="12" spans="1:2" x14ac:dyDescent="0.2">
      <c r="A12" s="15" t="s">
        <v>23</v>
      </c>
      <c r="B12" s="4" t="str">
        <f>"0.0366"</f>
        <v>0.0366</v>
      </c>
    </row>
    <row r="13" spans="1:2" x14ac:dyDescent="0.2">
      <c r="A13" s="6" t="str">
        <f>""</f>
        <v/>
      </c>
      <c r="B13" s="4" t="str">
        <f>"(0.00249)"</f>
        <v>(0.00249)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32AA-31B8-4CF9-BE77-A5B7DD4B3BE4}">
  <dimension ref="A1:G22"/>
  <sheetViews>
    <sheetView topLeftCell="B1" zoomScale="70" zoomScaleNormal="70" workbookViewId="0">
      <selection activeCell="A12" sqref="A12"/>
    </sheetView>
  </sheetViews>
  <sheetFormatPr baseColWidth="10" defaultColWidth="8.83203125" defaultRowHeight="15" x14ac:dyDescent="0.2"/>
  <cols>
    <col min="1" max="1" width="35" style="10" customWidth="1"/>
    <col min="2" max="7" width="20.5" style="11" customWidth="1"/>
    <col min="8" max="16384" width="8.83203125" style="10"/>
  </cols>
  <sheetData>
    <row r="1" spans="1:7" x14ac:dyDescent="0.2">
      <c r="A1" s="10" t="str">
        <f>"Regressions coefficients of psi_c on CZ effects from alternative specifications"</f>
        <v>Regressions coefficients of psi_c on CZ effects from alternative specifications</v>
      </c>
    </row>
    <row r="2" spans="1:7" x14ac:dyDescent="0.2">
      <c r="A2" s="10" t="s">
        <v>15</v>
      </c>
    </row>
    <row r="3" spans="1:7" x14ac:dyDescent="0.2">
      <c r="A3" s="10" t="s">
        <v>19</v>
      </c>
    </row>
    <row r="4" spans="1:7" x14ac:dyDescent="0.2">
      <c r="B4" s="19"/>
      <c r="C4" s="19"/>
      <c r="D4" s="19"/>
      <c r="E4" s="19"/>
      <c r="F4" s="19"/>
    </row>
    <row r="5" spans="1:7" x14ac:dyDescent="0.2">
      <c r="D5" s="19"/>
      <c r="E5" s="19"/>
      <c r="F5" s="19"/>
    </row>
    <row r="6" spans="1:7" x14ac:dyDescent="0.2">
      <c r="A6" s="11" t="str">
        <f>""</f>
        <v/>
      </c>
      <c r="B6" s="11" t="str">
        <f>"(1)"</f>
        <v>(1)</v>
      </c>
      <c r="C6" s="11" t="str">
        <f>"(2)"</f>
        <v>(2)</v>
      </c>
      <c r="D6" s="11" t="str">
        <f>"(3)"</f>
        <v>(3)</v>
      </c>
      <c r="E6" s="11" t="str">
        <f>"(4)"</f>
        <v>(4)</v>
      </c>
      <c r="F6" s="11" t="str">
        <f>"(5)"</f>
        <v>(5)</v>
      </c>
      <c r="G6" s="11" t="str">
        <f>"(6)"</f>
        <v>(6)</v>
      </c>
    </row>
    <row r="7" spans="1:7" x14ac:dyDescent="0.2">
      <c r="A7" s="11" t="str">
        <f>""</f>
        <v/>
      </c>
      <c r="B7" s="4" t="str">
        <f>"fe_educacsHS"</f>
        <v>fe_educacsHS</v>
      </c>
      <c r="C7" s="4" t="str">
        <f>"fe_educacsCplus"</f>
        <v>fe_educacsCplus</v>
      </c>
      <c r="D7" s="4" t="str">
        <f>"fe_educacs"</f>
        <v>fe_educacs</v>
      </c>
      <c r="E7" s="4" t="str">
        <f>"fe_educacsHS"</f>
        <v>fe_educacsHS</v>
      </c>
      <c r="F7" s="4" t="str">
        <f>"fe_educacsCplus"</f>
        <v>fe_educacsCplus</v>
      </c>
      <c r="G7" s="4" t="str">
        <f>"fe_educacsHS"</f>
        <v>fe_educacsHS</v>
      </c>
    </row>
    <row r="8" spans="1:7" x14ac:dyDescent="0.2">
      <c r="A8" s="12"/>
    </row>
    <row r="9" spans="1:7" x14ac:dyDescent="0.2">
      <c r="A9" s="12" t="s">
        <v>16</v>
      </c>
      <c r="B9" s="4" t="str">
        <f>"0.742"</f>
        <v>0.742</v>
      </c>
      <c r="C9" s="4" t="str">
        <f>"1.108"</f>
        <v>1.108</v>
      </c>
      <c r="D9" s="4" t="str">
        <f>"1.023"</f>
        <v>1.023</v>
      </c>
      <c r="E9" s="13"/>
      <c r="F9" s="13"/>
    </row>
    <row r="10" spans="1:7" x14ac:dyDescent="0.2">
      <c r="A10" s="12" t="str">
        <f>""</f>
        <v/>
      </c>
      <c r="B10" s="4" t="str">
        <f>"(0.0251)"</f>
        <v>(0.0251)</v>
      </c>
      <c r="C10" s="4" t="str">
        <f>"(0.0121)"</f>
        <v>(0.0121)</v>
      </c>
      <c r="D10" s="4" t="str">
        <f>"(0.00614)"</f>
        <v>(0.00614)</v>
      </c>
      <c r="E10" s="13"/>
      <c r="F10" s="13"/>
    </row>
    <row r="11" spans="1:7" x14ac:dyDescent="0.2">
      <c r="A11" s="12"/>
      <c r="B11" s="4"/>
      <c r="C11" s="4"/>
      <c r="D11" s="4"/>
      <c r="E11" s="13"/>
      <c r="F11" s="13"/>
    </row>
    <row r="12" spans="1:7" x14ac:dyDescent="0.2">
      <c r="A12" t="str">
        <f>"fe_educacs"</f>
        <v>fe_educacs</v>
      </c>
      <c r="B12" s="4" t="str">
        <f>""</f>
        <v/>
      </c>
      <c r="C12" s="4" t="str">
        <f>""</f>
        <v/>
      </c>
      <c r="D12" s="4" t="str">
        <f>""</f>
        <v/>
      </c>
      <c r="E12" s="4" t="str">
        <f>"0.717"</f>
        <v>0.717</v>
      </c>
      <c r="F12" s="4" t="str">
        <f>"1.086"</f>
        <v>1.086</v>
      </c>
      <c r="G12" s="4" t="str">
        <f>""</f>
        <v/>
      </c>
    </row>
    <row r="13" spans="1:7" x14ac:dyDescent="0.2">
      <c r="A13" t="str">
        <f>""</f>
        <v/>
      </c>
      <c r="B13" s="4" t="str">
        <f>""</f>
        <v/>
      </c>
      <c r="C13" s="4" t="str">
        <f>""</f>
        <v/>
      </c>
      <c r="D13" s="4" t="str">
        <f>""</f>
        <v/>
      </c>
      <c r="E13" s="4" t="str">
        <f>"(0.0229)"</f>
        <v>(0.0229)</v>
      </c>
      <c r="F13" s="4" t="str">
        <f>"(0.00771)"</f>
        <v>(0.00771)</v>
      </c>
      <c r="G13" s="4" t="str">
        <f>""</f>
        <v/>
      </c>
    </row>
    <row r="14" spans="1:7" x14ac:dyDescent="0.2">
      <c r="A14"/>
      <c r="B14" s="4"/>
      <c r="C14" s="4"/>
      <c r="D14" s="4"/>
      <c r="E14" s="4"/>
      <c r="F14" s="4"/>
      <c r="G14" s="4"/>
    </row>
    <row r="15" spans="1:7" x14ac:dyDescent="0.2">
      <c r="A15" t="str">
        <f>"fe_educacsCplus"</f>
        <v>fe_educacsCplus</v>
      </c>
      <c r="B15" s="4" t="str">
        <f>""</f>
        <v/>
      </c>
      <c r="C15" s="4" t="str">
        <f>""</f>
        <v/>
      </c>
      <c r="D15" s="4" t="str">
        <f>""</f>
        <v/>
      </c>
      <c r="E15" s="4" t="str">
        <f>""</f>
        <v/>
      </c>
      <c r="F15" s="4" t="str">
        <f>""</f>
        <v/>
      </c>
      <c r="G15" s="4" t="str">
        <f>"0.641"</f>
        <v>0.641</v>
      </c>
    </row>
    <row r="16" spans="1:7" x14ac:dyDescent="0.2">
      <c r="A16" t="str">
        <f>""</f>
        <v/>
      </c>
      <c r="B16" s="4" t="str">
        <f>""</f>
        <v/>
      </c>
      <c r="C16" s="4" t="str">
        <f>""</f>
        <v/>
      </c>
      <c r="D16" s="4" t="str">
        <f>""</f>
        <v/>
      </c>
      <c r="E16" s="4" t="str">
        <f>""</f>
        <v/>
      </c>
      <c r="F16" s="4" t="str">
        <f>""</f>
        <v/>
      </c>
      <c r="G16" s="4" t="str">
        <f>"(0.0220)"</f>
        <v>(0.0220)</v>
      </c>
    </row>
    <row r="17" spans="1:7" customFormat="1" x14ac:dyDescent="0.2">
      <c r="A17" t="str">
        <f>"Person-quarter observations"</f>
        <v>Person-quarter observations</v>
      </c>
      <c r="B17" s="20" t="str">
        <f t="shared" ref="B17" si="0">"2523000000"</f>
        <v>2523000000</v>
      </c>
      <c r="C17" s="20"/>
      <c r="D17" s="20"/>
      <c r="E17" s="20"/>
      <c r="F17" s="20"/>
      <c r="G17" s="20"/>
    </row>
    <row r="18" spans="1:7" x14ac:dyDescent="0.2">
      <c r="A18" s="12" t="s">
        <v>17</v>
      </c>
      <c r="B18" s="4" t="str">
        <f>"0.934"</f>
        <v>0.934</v>
      </c>
      <c r="C18" s="4" t="str">
        <f>"0.980"</f>
        <v>0.980</v>
      </c>
      <c r="D18" s="4" t="str">
        <f>"0.994"</f>
        <v>0.994</v>
      </c>
      <c r="E18" s="4" t="str">
        <f>"0.919"</f>
        <v>0.919</v>
      </c>
      <c r="F18" s="4" t="str">
        <f>"0.993"</f>
        <v>0.993</v>
      </c>
      <c r="G18" s="4" t="str">
        <f>"0.873"</f>
        <v>0.873</v>
      </c>
    </row>
    <row r="19" spans="1:7" x14ac:dyDescent="0.2">
      <c r="A19" s="12" t="s">
        <v>18</v>
      </c>
      <c r="B19" s="4" t="str">
        <f>"0.0606"</f>
        <v>0.0606</v>
      </c>
      <c r="C19" s="4" t="str">
        <f>"0.0884"</f>
        <v>0.0884</v>
      </c>
      <c r="D19" s="4" t="str">
        <f>"0.0811"</f>
        <v>0.0811</v>
      </c>
      <c r="E19" s="4"/>
      <c r="F19" s="4"/>
      <c r="G19" s="4"/>
    </row>
    <row r="22" spans="1:7" x14ac:dyDescent="0.2">
      <c r="B22" s="11">
        <f>B18^0.5</f>
        <v>0.9664367542679656</v>
      </c>
      <c r="C22" s="11">
        <f>C18^0.5</f>
        <v>0.98994949366116658</v>
      </c>
    </row>
  </sheetData>
  <mergeCells count="4">
    <mergeCell ref="B4:C4"/>
    <mergeCell ref="D4:F4"/>
    <mergeCell ref="D5:F5"/>
    <mergeCell ref="B17:G17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0496-04DC-4F5B-8819-9F517131105A}">
  <dimension ref="A1:B1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2" bestFit="1" customWidth="1"/>
    <col min="2" max="2" width="20.5" customWidth="1"/>
  </cols>
  <sheetData>
    <row r="1" spans="1:2" x14ac:dyDescent="0.2">
      <c r="A1" s="7" t="s">
        <v>12</v>
      </c>
    </row>
    <row r="2" spans="1:2" x14ac:dyDescent="0.2">
      <c r="A2" s="7" t="s">
        <v>3</v>
      </c>
    </row>
    <row r="5" spans="1:2" x14ac:dyDescent="0.2">
      <c r="B5" s="8" t="s">
        <v>13</v>
      </c>
    </row>
    <row r="6" spans="1:2" x14ac:dyDescent="0.2">
      <c r="A6" t="str">
        <f>""</f>
        <v/>
      </c>
      <c r="B6" s="8" t="s">
        <v>14</v>
      </c>
    </row>
    <row r="7" spans="1:2" x14ac:dyDescent="0.2">
      <c r="B7" s="8"/>
    </row>
    <row r="9" spans="1:2" x14ac:dyDescent="0.2">
      <c r="A9" t="str">
        <f>"mlogwage4"</f>
        <v>mlogwage4</v>
      </c>
      <c r="B9" s="4" t="str">
        <f>"0.233"</f>
        <v>0.233</v>
      </c>
    </row>
    <row r="10" spans="1:2" x14ac:dyDescent="0.2">
      <c r="A10" t="str">
        <f>""</f>
        <v/>
      </c>
      <c r="B10" s="4" t="str">
        <f>"(0.0171)"</f>
        <v>(0.0171)</v>
      </c>
    </row>
    <row r="11" spans="1:2" x14ac:dyDescent="0.2">
      <c r="B11" s="8"/>
    </row>
    <row r="12" spans="1:2" x14ac:dyDescent="0.2">
      <c r="A12" s="7"/>
      <c r="B12" s="9"/>
    </row>
    <row r="13" spans="1:2" x14ac:dyDescent="0.2">
      <c r="A13" t="str">
        <f>"logsize_c"</f>
        <v>logsize_c</v>
      </c>
      <c r="B13" s="4" t="str">
        <f>"0.0198"</f>
        <v>0.0198</v>
      </c>
    </row>
    <row r="14" spans="1:2" x14ac:dyDescent="0.2">
      <c r="B14" s="4" t="str">
        <f>"(0.00123)"</f>
        <v>(0.00123)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dcterms:modified xsi:type="dcterms:W3CDTF">2023-09-18T16:43:40Z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